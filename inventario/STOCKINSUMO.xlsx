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0" windowWidth="10455" windowHeight="10905" tabRatio="500" firstSheet="1" activeTab="4" autoFilterDateGrouping="1"/>
  </bookViews>
  <sheets>
    <sheet name="INICIO" sheetId="1" state="visible" r:id="rId1"/>
    <sheet name="INSUMOS" sheetId="2" state="visible" r:id="rId2"/>
    <sheet name="PRODUCTOS" sheetId="3" state="visible" r:id="rId3"/>
    <sheet name="RECETAS" sheetId="4" state="visible" r:id="rId4"/>
    <sheet name="COMPRAS" sheetId="5" state="visible" r:id="rId5"/>
    <sheet name="PERDIDAS" sheetId="6" state="visible" r:id="rId6"/>
    <sheet name="PRODUCCION" sheetId="7" state="visible" r:id="rId7"/>
    <sheet name="COSTOS" sheetId="8" state="visible" r:id="rId8"/>
    <sheet name="PRECIOS" sheetId="9" state="visible" r:id="rId9"/>
  </sheets>
  <definedNames>
    <definedName name="ListaInsumos">INSUMOS!$B$5:$B$67</definedName>
    <definedName name="ListaProductos">PRODUCTOS!$B$5:$B$104</definedName>
  </definedNames>
  <calcPr calcId="191029" fullCalcOnLoad="1"/>
</workbook>
</file>

<file path=xl/styles.xml><?xml version="1.0" encoding="utf-8"?>
<styleSheet xmlns="http://schemas.openxmlformats.org/spreadsheetml/2006/main">
  <numFmts count="2">
    <numFmt numFmtId="164" formatCode="\$#,##0"/>
    <numFmt numFmtId="165" formatCode="yyyy\-mm\-dd"/>
  </numFmts>
  <fonts count="13">
    <font>
      <name val="Calibri"/>
      <charset val="1"/>
      <family val="2"/>
      <color theme="1"/>
      <sz val="11"/>
    </font>
    <font>
      <name val="Calibri"/>
      <charset val="1"/>
      <b val="1"/>
      <color rgb="FF203864"/>
      <sz val="20"/>
    </font>
    <font>
      <name val="Calibri"/>
      <charset val="1"/>
      <b val="1"/>
      <color rgb="FF203864"/>
      <sz val="13"/>
    </font>
    <font>
      <name val="Calibri"/>
      <charset val="1"/>
      <sz val="11"/>
    </font>
    <font>
      <name val="Calibri"/>
      <charset val="1"/>
      <b val="1"/>
      <color rgb="FF203864"/>
      <sz val="12"/>
    </font>
    <font>
      <name val="Calibri"/>
      <charset val="1"/>
      <b val="1"/>
      <color rgb="FFFFFFFF"/>
      <sz val="11"/>
    </font>
    <font>
      <name val="Calibri"/>
      <charset val="1"/>
      <sz val="10"/>
    </font>
    <font>
      <name val="Calibri"/>
      <charset val="1"/>
      <b val="1"/>
      <color rgb="FF203864"/>
      <sz val="16"/>
    </font>
    <font>
      <name val="Calibri"/>
      <charset val="1"/>
      <i val="1"/>
      <color rgb="FF595959"/>
      <sz val="9"/>
    </font>
    <font>
      <name val="Calibri"/>
      <charset val="1"/>
      <i val="1"/>
      <color rgb="FF595959"/>
      <sz val="10"/>
    </font>
    <font>
      <name val="Calibri"/>
      <family val="2"/>
      <sz val="10"/>
    </font>
    <font>
      <name val="Calibri"/>
      <charset val="1"/>
      <family val="2"/>
      <sz val="8"/>
    </font>
    <font>
      <name val="Calibri"/>
      <b val="1"/>
      <color rgb="FF595959"/>
      <sz val="10"/>
    </font>
  </fonts>
  <fills count="6">
    <fill>
      <patternFill/>
    </fill>
    <fill>
      <patternFill patternType="gray125"/>
    </fill>
    <fill>
      <patternFill patternType="solid">
        <fgColor rgb="FFD9E1F2"/>
        <bgColor rgb="FFF2F2F2"/>
      </patternFill>
    </fill>
    <fill>
      <patternFill patternType="solid">
        <fgColor rgb="FF1F3864"/>
        <bgColor rgb="FF203864"/>
      </patternFill>
    </fill>
    <fill>
      <patternFill patternType="solid">
        <fgColor rgb="FFFFF2CC"/>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2" fillId="0" borderId="0" pivotButton="0" quotePrefix="0" xfId="0"/>
    <xf numFmtId="1" fontId="4" fillId="2" borderId="1" applyAlignment="1" pivotButton="0" quotePrefix="0" xfId="0">
      <alignment horizontal="center" vertical="center"/>
    </xf>
    <xf numFmtId="164" fontId="4" fillId="2" borderId="1" applyAlignment="1" pivotButton="0" quotePrefix="0" xfId="0">
      <alignment horizontal="center" vertical="center"/>
    </xf>
    <xf numFmtId="0" fontId="5" fillId="3" borderId="1" applyAlignment="1" pivotButton="0" quotePrefix="0" xfId="0">
      <alignment horizontal="center" vertical="center" wrapText="1"/>
    </xf>
    <xf numFmtId="0" fontId="6" fillId="0" borderId="1" applyAlignment="1" pivotButton="0" quotePrefix="0" xfId="0">
      <alignment vertical="center" wrapText="1"/>
    </xf>
    <xf numFmtId="0" fontId="6" fillId="0" borderId="1" applyAlignment="1" pivotButton="0" quotePrefix="0" xfId="0">
      <alignment vertical="center"/>
    </xf>
    <xf numFmtId="0" fontId="6" fillId="4" borderId="1" applyAlignment="1" pivotButton="0" quotePrefix="0" xfId="0">
      <alignment vertical="center"/>
    </xf>
    <xf numFmtId="0" fontId="9" fillId="5" borderId="1" applyAlignment="1" pivotButton="0" quotePrefix="0" xfId="0">
      <alignment vertical="center"/>
    </xf>
    <xf numFmtId="164" fontId="6" fillId="4" borderId="1" applyAlignment="1" pivotButton="0" quotePrefix="0" xfId="0">
      <alignment vertical="center"/>
    </xf>
    <xf numFmtId="164" fontId="9" fillId="5" borderId="1" applyAlignment="1" pivotButton="0" quotePrefix="0" xfId="0">
      <alignment vertical="center"/>
    </xf>
    <xf numFmtId="0" fontId="6" fillId="4" borderId="1" applyAlignment="1" pivotButton="0" quotePrefix="0" xfId="0">
      <alignment vertical="center" wrapText="1"/>
    </xf>
    <xf numFmtId="165" fontId="6" fillId="4" borderId="1" applyAlignment="1" pivotButton="0" quotePrefix="0" xfId="0">
      <alignment vertical="center"/>
    </xf>
    <xf numFmtId="0" fontId="10" fillId="4" borderId="1" applyAlignment="1" pivotButton="0" quotePrefix="0" xfId="0">
      <alignment vertical="center"/>
    </xf>
    <xf numFmtId="0" fontId="7" fillId="0" borderId="0" applyAlignment="1" pivotButton="0" quotePrefix="0" xfId="0">
      <alignment horizontal="left" vertical="center"/>
    </xf>
    <xf numFmtId="0" fontId="8" fillId="0" borderId="0" pivotButton="0" quotePrefix="0" xfId="0"/>
    <xf numFmtId="0" fontId="3" fillId="0" borderId="0" applyAlignment="1" pivotButton="0" quotePrefix="0" xfId="0">
      <alignment vertical="center"/>
    </xf>
    <xf numFmtId="0" fontId="3" fillId="0" borderId="0" pivotButton="0" quotePrefix="0" xfId="0"/>
    <xf numFmtId="0" fontId="1" fillId="0" borderId="0" applyAlignment="1" pivotButton="0" quotePrefix="0" xfId="0">
      <alignment horizontal="left" vertical="center"/>
    </xf>
    <xf numFmtId="0" fontId="12" fillId="5" borderId="1" applyAlignment="1" pivotButton="0" quotePrefix="0" xfId="0">
      <alignment vertical="center"/>
    </xf>
    <xf numFmtId="164" fontId="12" fillId="5" borderId="1" applyAlignment="1" pivotButton="0" quotePrefix="0" xfId="0">
      <alignment vertical="center"/>
    </xf>
    <xf numFmtId="9" fontId="6" fillId="4" borderId="1" applyAlignment="1" pivotButton="0" quotePrefix="0" xfId="0">
      <alignment vertical="center"/>
    </xf>
    <xf numFmtId="9" fontId="9" fillId="5" borderId="1" applyAlignment="1" pivotButton="0" quotePrefix="0" xfId="0">
      <alignment vertical="center"/>
    </xf>
  </cellXfs>
  <cellStyles count="1">
    <cellStyle name="Normal" xfId="0" builtinId="0"/>
  </cellStyles>
  <dxfs count="5">
    <dxf>
      <font>
        <name val="Calibri"/>
        <charset val="1"/>
        <b val="1"/>
        <color rgb="FF006100"/>
      </font>
      <fill>
        <patternFill>
          <bgColor rgb="FFC6EFCE"/>
        </patternFill>
      </fill>
    </dxf>
    <dxf>
      <font>
        <name val="Calibri"/>
        <charset val="1"/>
        <b val="1"/>
        <color rgb="FF9C6500"/>
      </font>
      <fill>
        <patternFill>
          <bgColor rgb="FFF8CBAD"/>
        </patternFill>
      </fill>
    </dxf>
    <dxf>
      <font>
        <name val="Calibri"/>
        <charset val="1"/>
        <b val="1"/>
        <color rgb="FF9C0006"/>
      </font>
      <fill>
        <patternFill>
          <bgColor rgb="FFF4B084"/>
        </patternFill>
      </fill>
    </dxf>
    <dxf>
      <font>
        <name val="Calibri"/>
        <charset val="1"/>
        <b val="1"/>
        <color rgb="FF9C6500"/>
      </font>
      <fill>
        <patternFill>
          <bgColor rgb="FFF8CBAD"/>
        </patternFill>
      </fill>
    </dxf>
    <dxf>
      <font>
        <name val="Calibri"/>
        <charset val="1"/>
        <b val="1"/>
        <color rgb="FF9C0006"/>
      </font>
      <fill>
        <patternFill>
          <bgColor rgb="FFF4B08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4B084"/>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20386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topLeftCell="A11" zoomScaleNormal="100" workbookViewId="0">
      <selection activeCell="A23" sqref="A23"/>
    </sheetView>
  </sheetViews>
  <sheetFormatPr baseColWidth="10" defaultColWidth="8.7109375" defaultRowHeight="15"/>
  <cols>
    <col width="30" customWidth="1" min="1" max="1"/>
    <col width="18" customWidth="1" min="2" max="2"/>
    <col width="14" customWidth="1" min="3" max="5"/>
    <col width="35" customWidth="1" min="6" max="6"/>
  </cols>
  <sheetData>
    <row r="1" ht="33.75" customHeight="1">
      <c r="A1" s="18" t="inlineStr">
        <is>
          <t>📊 CONTROL DE STOCK — Papelería</t>
        </is>
      </c>
    </row>
    <row r="3" ht="17.25" customHeight="1">
      <c r="A3" s="1" t="inlineStr">
        <is>
          <t>¿Cómo funciona?</t>
        </is>
      </c>
    </row>
    <row r="4">
      <c r="A4" s="17" t="inlineStr">
        <is>
          <t>1️⃣  INSUMOS → completá stock inicial, stock mínimo y costos (celdas amarillas).</t>
        </is>
      </c>
    </row>
    <row r="5">
      <c r="A5" s="17" t="inlineStr">
        <is>
          <t>2️⃣  PRODUCTOS → anotá cada producto que fabricás (ej: libreta A5, marcapáginas…).</t>
        </is>
      </c>
    </row>
    <row r="6">
      <c r="A6" s="17" t="inlineStr">
        <is>
          <t>3️⃣  RECETAS → por cada producto, listá qué insumos y cuánto lleva por unidad.</t>
        </is>
      </c>
    </row>
    <row r="7">
      <c r="A7" s="17" t="inlineStr">
        <is>
          <t>4️⃣  COMPRAS → cada vez que compres insumos, sumás una fila y el stock sube solo.</t>
        </is>
      </c>
    </row>
    <row r="8">
      <c r="A8" s="17" t="inlineStr">
        <is>
          <t>5️⃣  PRODUCCIÓN → cada vez que hagas productos, sumás una fila y los insumos se descuentan solos.</t>
        </is>
      </c>
    </row>
    <row r="9">
      <c r="A9" s="17" t="inlineStr">
        <is>
          <t>6️⃣  PERDIDAS → si un insumo se dañó, se imprimió mal o se perdió, anotalo y se descuenta del stock.</t>
        </is>
      </c>
    </row>
    <row r="10">
      <c r="A10" s="17" t="inlineStr">
        <is>
          <t>7️⃣  COSTOS → mirá cuánto cuesta fabricar cada producto y a cuánto conviene venderlo.</t>
        </is>
      </c>
    </row>
    <row r="11">
      <c r="A11" s="17" t="inlineStr">
        <is>
          <t>8️⃣  PRECIOS → guardá el precio de venta de cada producto y mirá el IVA y la ganancia real.</t>
        </is>
      </c>
    </row>
    <row r="12">
      <c r="A12" s="17" t="inlineStr">
        <is>
          <t>💡 Este panel te muestra qué insumos están bajos o agotados.</t>
        </is>
      </c>
    </row>
    <row r="13" ht="17.25" customHeight="1">
      <c r="A13" s="1" t="inlineStr">
        <is>
          <t>Resumen</t>
        </is>
      </c>
    </row>
    <row r="14" ht="21.75" customHeight="1">
      <c r="A14" s="16" t="inlineStr">
        <is>
          <t>Total insumos registrados</t>
        </is>
      </c>
      <c r="D14" s="2">
        <f>COUNTA(INSUMOS!B5:B67)</f>
        <v/>
      </c>
    </row>
    <row r="15" ht="21.75" customHeight="1">
      <c r="A15" s="16" t="inlineStr">
        <is>
          <t>Insumos SIN STOCK</t>
        </is>
      </c>
      <c r="D15" s="2">
        <f>COUNTIF(INSUMOS!J5:J67,"SIN STOCK")</f>
        <v/>
      </c>
    </row>
    <row r="16" ht="21.75" customHeight="1">
      <c r="A16" s="16" t="inlineStr">
        <is>
          <t>Insumos con BAJO STOCK</t>
        </is>
      </c>
      <c r="D16" s="2">
        <f>COUNTIF(INSUMOS!J5:J67,"BAJO STOCK")</f>
        <v/>
      </c>
    </row>
    <row r="17" ht="21.75" customHeight="1">
      <c r="A17" s="16" t="inlineStr">
        <is>
          <t>Insumos OK</t>
        </is>
      </c>
      <c r="D17" s="2">
        <f>COUNTIF(INSUMOS!J5:J67,"OK")</f>
        <v/>
      </c>
    </row>
    <row r="18" ht="21.75" customHeight="1">
      <c r="A18" s="16" t="inlineStr">
        <is>
          <t>Valor total en stock</t>
        </is>
      </c>
      <c r="D18" s="3">
        <f>SUM(INSUMOS!L5:L67)</f>
        <v/>
      </c>
    </row>
    <row r="19">
      <c r="A19" s="16" t="inlineStr">
        <is>
          <t>Valor perdido en errores/mermas</t>
        </is>
      </c>
      <c r="D19" s="3">
        <f>SUM(PERDIDAS!E5:E504)</f>
        <v/>
      </c>
    </row>
    <row r="20" ht="17.25" customHeight="1">
      <c r="A20" s="1" t="inlineStr">
        <is>
          <t>🚨 Insumos que requieren atención</t>
        </is>
      </c>
    </row>
    <row r="21" ht="27.75" customHeight="1">
      <c r="A21" s="4" t="inlineStr">
        <is>
          <t>Nombre</t>
        </is>
      </c>
      <c r="B21" s="4" t="inlineStr">
        <is>
          <t>Categoría</t>
        </is>
      </c>
      <c r="C21" s="4" t="inlineStr">
        <is>
          <t>Stock actual</t>
        </is>
      </c>
      <c r="D21" s="4" t="inlineStr">
        <is>
          <t>Stock mínimo</t>
        </is>
      </c>
      <c r="E21" s="4" t="inlineStr">
        <is>
          <t>Estado</t>
        </is>
      </c>
      <c r="F21" s="4" t="inlineStr">
        <is>
          <t>Notas</t>
        </is>
      </c>
    </row>
    <row r="22" ht="25.5" customHeight="1">
      <c r="A22" s="5">
        <f>IFERROR(INDEX(INSUMOS!B:B,IFERROR(SMALL(IF((INSUMOS!$J$5:$J$67&lt;&gt;"OK")*(INSUMOS!$J$5:$J$67&lt;&gt;""),ROW(INSUMOS!$J$5:$J$67)),1),"")),"")</f>
        <v/>
      </c>
      <c r="B22" s="6">
        <f>IFERROR(INDEX(INSUMOS!C:C,IFERROR(SMALL(IF((INSUMOS!$J$5:$J$67&lt;&gt;"OK")*(INSUMOS!$J$5:$J$67&lt;&gt;""),ROW(INSUMOS!$J$5:$J$67)),1),"")),"")</f>
        <v/>
      </c>
      <c r="C22" s="6">
        <f>IFERROR(INDEX(INSUMOS!H:H,IFERROR(SMALL(IF((INSUMOS!$J$5:$J$67&lt;&gt;"OK")*(INSUMOS!$J$5:$J$67&lt;&gt;""),ROW(INSUMOS!$J$5:$J$67)),1),"")),"")</f>
        <v/>
      </c>
      <c r="D22" s="6">
        <f>IFERROR(INDEX(INSUMOS!I:I,IFERROR(SMALL(IF((INSUMOS!$J$5:$J$67&lt;&gt;"OK")*(INSUMOS!$J$5:$J$67&lt;&gt;""),ROW(INSUMOS!$J$5:$J$67)),1),"")),"")</f>
        <v/>
      </c>
      <c r="E22" s="6">
        <f>IFERROR(INDEX(INSUMOS!J:J,IFERROR(SMALL(IF((INSUMOS!$J$5:$J$67&lt;&gt;"OK")*(INSUMOS!$J$5:$J$67&lt;&gt;""),ROW(INSUMOS!$J$5:$J$67)),1),"")),"")</f>
        <v/>
      </c>
      <c r="F22" s="5">
        <f>IFERROR(INDEX(INSUMOS!M:M,IFERROR(SMALL(IF((INSUMOS!$J$5:$J$67&lt;&gt;"OK")*(INSUMOS!$J$5:$J$67&lt;&gt;""),ROW(INSUMOS!$J$5:$J$67)),1),"")),"")</f>
        <v/>
      </c>
    </row>
    <row r="23">
      <c r="A23" s="5">
        <f>IFERROR(INDEX(INSUMOS!B:B,IFERROR(SMALL(IF((INSUMOS!$J$5:$J$67&lt;&gt;"OK")*(INSUMOS!$J$5:$J$67&lt;&gt;""),ROW(INSUMOS!$J$5:$J$67)),2),"")),"")</f>
        <v/>
      </c>
      <c r="B23" s="6">
        <f>IFERROR(INDEX(INSUMOS!C:C,IFERROR(SMALL(IF((INSUMOS!$J$5:$J$67&lt;&gt;"OK")*(INSUMOS!$J$5:$J$67&lt;&gt;""),ROW(INSUMOS!$J$5:$J$67)),2),"")),"")</f>
        <v/>
      </c>
      <c r="C23" s="6">
        <f>IFERROR(INDEX(INSUMOS!H:H,IFERROR(SMALL(IF((INSUMOS!$J$5:$J$67&lt;&gt;"OK")*(INSUMOS!$J$5:$J$67&lt;&gt;""),ROW(INSUMOS!$J$5:$J$67)),2),"")),"")</f>
        <v/>
      </c>
      <c r="D23" s="6">
        <f>IFERROR(INDEX(INSUMOS!I:I,IFERROR(SMALL(IF((INSUMOS!$J$5:$J$67&lt;&gt;"OK")*(INSUMOS!$J$5:$J$67&lt;&gt;""),ROW(INSUMOS!$J$5:$J$67)),2),"")),"")</f>
        <v/>
      </c>
      <c r="E23" s="6">
        <f>IFERROR(INDEX(INSUMOS!J:J,IFERROR(SMALL(IF((INSUMOS!$J$5:$J$67&lt;&gt;"OK")*(INSUMOS!$J$5:$J$67&lt;&gt;""),ROW(INSUMOS!$J$5:$J$67)),2),"")),"")</f>
        <v/>
      </c>
      <c r="F23" s="5">
        <f>IFERROR(INDEX(INSUMOS!M:M,IFERROR(SMALL(IF((INSUMOS!$J$5:$J$67&lt;&gt;"OK")*(INSUMOS!$J$5:$J$67&lt;&gt;""),ROW(INSUMOS!$J$5:$J$67)),2),"")),"")</f>
        <v/>
      </c>
    </row>
    <row r="24">
      <c r="A24" s="5">
        <f>IFERROR(INDEX(INSUMOS!B:B,IFERROR(SMALL(IF((INSUMOS!$J$5:$J$67&lt;&gt;"OK")*(INSUMOS!$J$5:$J$67&lt;&gt;""),ROW(INSUMOS!$J$5:$J$67)),3),"")),"")</f>
        <v/>
      </c>
      <c r="B24" s="6">
        <f>IFERROR(INDEX(INSUMOS!C:C,IFERROR(SMALL(IF((INSUMOS!$J$5:$J$67&lt;&gt;"OK")*(INSUMOS!$J$5:$J$67&lt;&gt;""),ROW(INSUMOS!$J$5:$J$67)),3),"")),"")</f>
        <v/>
      </c>
      <c r="C24" s="6">
        <f>IFERROR(INDEX(INSUMOS!H:H,IFERROR(SMALL(IF((INSUMOS!$J$5:$J$67&lt;&gt;"OK")*(INSUMOS!$J$5:$J$67&lt;&gt;""),ROW(INSUMOS!$J$5:$J$67)),3),"")),"")</f>
        <v/>
      </c>
      <c r="D24" s="6">
        <f>IFERROR(INDEX(INSUMOS!I:I,IFERROR(SMALL(IF((INSUMOS!$J$5:$J$67&lt;&gt;"OK")*(INSUMOS!$J$5:$J$67&lt;&gt;""),ROW(INSUMOS!$J$5:$J$67)),3),"")),"")</f>
        <v/>
      </c>
      <c r="E24" s="6">
        <f>IFERROR(INDEX(INSUMOS!J:J,IFERROR(SMALL(IF((INSUMOS!$J$5:$J$67&lt;&gt;"OK")*(INSUMOS!$J$5:$J$67&lt;&gt;""),ROW(INSUMOS!$J$5:$J$67)),3),"")),"")</f>
        <v/>
      </c>
      <c r="F24" s="5">
        <f>IFERROR(INDEX(INSUMOS!M:M,IFERROR(SMALL(IF((INSUMOS!$J$5:$J$67&lt;&gt;"OK")*(INSUMOS!$J$5:$J$67&lt;&gt;""),ROW(INSUMOS!$J$5:$J$67)),3),"")),"")</f>
        <v/>
      </c>
    </row>
    <row r="25">
      <c r="A25" s="5">
        <f>IFERROR(INDEX(INSUMOS!B:B,IFERROR(SMALL(IF((INSUMOS!$J$5:$J$67&lt;&gt;"OK")*(INSUMOS!$J$5:$J$67&lt;&gt;""),ROW(INSUMOS!$J$5:$J$67)),4),"")),"")</f>
        <v/>
      </c>
      <c r="B25" s="6">
        <f>IFERROR(INDEX(INSUMOS!C:C,IFERROR(SMALL(IF((INSUMOS!$J$5:$J$67&lt;&gt;"OK")*(INSUMOS!$J$5:$J$67&lt;&gt;""),ROW(INSUMOS!$J$5:$J$67)),4),"")),"")</f>
        <v/>
      </c>
      <c r="C25" s="6">
        <f>IFERROR(INDEX(INSUMOS!H:H,IFERROR(SMALL(IF((INSUMOS!$J$5:$J$67&lt;&gt;"OK")*(INSUMOS!$J$5:$J$67&lt;&gt;""),ROW(INSUMOS!$J$5:$J$67)),4),"")),"")</f>
        <v/>
      </c>
      <c r="D25" s="6">
        <f>IFERROR(INDEX(INSUMOS!I:I,IFERROR(SMALL(IF((INSUMOS!$J$5:$J$67&lt;&gt;"OK")*(INSUMOS!$J$5:$J$67&lt;&gt;""),ROW(INSUMOS!$J$5:$J$67)),4),"")),"")</f>
        <v/>
      </c>
      <c r="E25" s="6">
        <f>IFERROR(INDEX(INSUMOS!J:J,IFERROR(SMALL(IF((INSUMOS!$J$5:$J$67&lt;&gt;"OK")*(INSUMOS!$J$5:$J$67&lt;&gt;""),ROW(INSUMOS!$J$5:$J$67)),4),"")),"")</f>
        <v/>
      </c>
      <c r="F25" s="5">
        <f>IFERROR(INDEX(INSUMOS!M:M,IFERROR(SMALL(IF((INSUMOS!$J$5:$J$67&lt;&gt;"OK")*(INSUMOS!$J$5:$J$67&lt;&gt;""),ROW(INSUMOS!$J$5:$J$67)),4),"")),"")</f>
        <v/>
      </c>
    </row>
    <row r="26">
      <c r="A26" s="5">
        <f>IFERROR(INDEX(INSUMOS!B:B,IFERROR(SMALL(IF((INSUMOS!$J$5:$J$67&lt;&gt;"OK")*(INSUMOS!$J$5:$J$67&lt;&gt;""),ROW(INSUMOS!$J$5:$J$67)),5),"")),"")</f>
        <v/>
      </c>
      <c r="B26" s="6">
        <f>IFERROR(INDEX(INSUMOS!C:C,IFERROR(SMALL(IF((INSUMOS!$J$5:$J$67&lt;&gt;"OK")*(INSUMOS!$J$5:$J$67&lt;&gt;""),ROW(INSUMOS!$J$5:$J$67)),5),"")),"")</f>
        <v/>
      </c>
      <c r="C26" s="6">
        <f>IFERROR(INDEX(INSUMOS!H:H,IFERROR(SMALL(IF((INSUMOS!$J$5:$J$67&lt;&gt;"OK")*(INSUMOS!$J$5:$J$67&lt;&gt;""),ROW(INSUMOS!$J$5:$J$67)),5),"")),"")</f>
        <v/>
      </c>
      <c r="D26" s="6">
        <f>IFERROR(INDEX(INSUMOS!I:I,IFERROR(SMALL(IF((INSUMOS!$J$5:$J$67&lt;&gt;"OK")*(INSUMOS!$J$5:$J$67&lt;&gt;""),ROW(INSUMOS!$J$5:$J$67)),5),"")),"")</f>
        <v/>
      </c>
      <c r="E26" s="6">
        <f>IFERROR(INDEX(INSUMOS!J:J,IFERROR(SMALL(IF((INSUMOS!$J$5:$J$67&lt;&gt;"OK")*(INSUMOS!$J$5:$J$67&lt;&gt;""),ROW(INSUMOS!$J$5:$J$67)),5),"")),"")</f>
        <v/>
      </c>
      <c r="F26" s="5">
        <f>IFERROR(INDEX(INSUMOS!M:M,IFERROR(SMALL(IF((INSUMOS!$J$5:$J$67&lt;&gt;"OK")*(INSUMOS!$J$5:$J$67&lt;&gt;""),ROW(INSUMOS!$J$5:$J$67)),5),"")),"")</f>
        <v/>
      </c>
    </row>
    <row r="27">
      <c r="A27" s="5">
        <f>IFERROR(INDEX(INSUMOS!B:B,IFERROR(SMALL(IF((INSUMOS!$J$5:$J$67&lt;&gt;"OK")*(INSUMOS!$J$5:$J$67&lt;&gt;""),ROW(INSUMOS!$J$5:$J$67)),6),"")),"")</f>
        <v/>
      </c>
      <c r="B27" s="6">
        <f>IFERROR(INDEX(INSUMOS!C:C,IFERROR(SMALL(IF((INSUMOS!$J$5:$J$67&lt;&gt;"OK")*(INSUMOS!$J$5:$J$67&lt;&gt;""),ROW(INSUMOS!$J$5:$J$67)),6),"")),"")</f>
        <v/>
      </c>
      <c r="C27" s="6">
        <f>IFERROR(INDEX(INSUMOS!H:H,IFERROR(SMALL(IF((INSUMOS!$J$5:$J$67&lt;&gt;"OK")*(INSUMOS!$J$5:$J$67&lt;&gt;""),ROW(INSUMOS!$J$5:$J$67)),6),"")),"")</f>
        <v/>
      </c>
      <c r="D27" s="6">
        <f>IFERROR(INDEX(INSUMOS!I:I,IFERROR(SMALL(IF((INSUMOS!$J$5:$J$67&lt;&gt;"OK")*(INSUMOS!$J$5:$J$67&lt;&gt;""),ROW(INSUMOS!$J$5:$J$67)),6),"")),"")</f>
        <v/>
      </c>
      <c r="E27" s="6">
        <f>IFERROR(INDEX(INSUMOS!J:J,IFERROR(SMALL(IF((INSUMOS!$J$5:$J$67&lt;&gt;"OK")*(INSUMOS!$J$5:$J$67&lt;&gt;""),ROW(INSUMOS!$J$5:$J$67)),6),"")),"")</f>
        <v/>
      </c>
      <c r="F27" s="5">
        <f>IFERROR(INDEX(INSUMOS!M:M,IFERROR(SMALL(IF((INSUMOS!$J$5:$J$67&lt;&gt;"OK")*(INSUMOS!$J$5:$J$67&lt;&gt;""),ROW(INSUMOS!$J$5:$J$67)),6),"")),"")</f>
        <v/>
      </c>
    </row>
    <row r="28">
      <c r="A28" s="5">
        <f>IFERROR(INDEX(INSUMOS!B:B,IFERROR(SMALL(IF((INSUMOS!$J$5:$J$67&lt;&gt;"OK")*(INSUMOS!$J$5:$J$67&lt;&gt;""),ROW(INSUMOS!$J$5:$J$67)),7),"")),"")</f>
        <v/>
      </c>
      <c r="B28" s="6">
        <f>IFERROR(INDEX(INSUMOS!C:C,IFERROR(SMALL(IF((INSUMOS!$J$5:$J$67&lt;&gt;"OK")*(INSUMOS!$J$5:$J$67&lt;&gt;""),ROW(INSUMOS!$J$5:$J$67)),7),"")),"")</f>
        <v/>
      </c>
      <c r="C28" s="6">
        <f>IFERROR(INDEX(INSUMOS!H:H,IFERROR(SMALL(IF((INSUMOS!$J$5:$J$67&lt;&gt;"OK")*(INSUMOS!$J$5:$J$67&lt;&gt;""),ROW(INSUMOS!$J$5:$J$67)),7),"")),"")</f>
        <v/>
      </c>
      <c r="D28" s="6">
        <f>IFERROR(INDEX(INSUMOS!I:I,IFERROR(SMALL(IF((INSUMOS!$J$5:$J$67&lt;&gt;"OK")*(INSUMOS!$J$5:$J$67&lt;&gt;""),ROW(INSUMOS!$J$5:$J$67)),7),"")),"")</f>
        <v/>
      </c>
      <c r="E28" s="6">
        <f>IFERROR(INDEX(INSUMOS!J:J,IFERROR(SMALL(IF((INSUMOS!$J$5:$J$67&lt;&gt;"OK")*(INSUMOS!$J$5:$J$67&lt;&gt;""),ROW(INSUMOS!$J$5:$J$67)),7),"")),"")</f>
        <v/>
      </c>
      <c r="F28" s="5">
        <f>IFERROR(INDEX(INSUMOS!M:M,IFERROR(SMALL(IF((INSUMOS!$J$5:$J$67&lt;&gt;"OK")*(INSUMOS!$J$5:$J$67&lt;&gt;""),ROW(INSUMOS!$J$5:$J$67)),7),"")),"")</f>
        <v/>
      </c>
    </row>
    <row r="29">
      <c r="A29" s="5">
        <f>IFERROR(INDEX(INSUMOS!B:B,IFERROR(SMALL(IF((INSUMOS!$J$5:$J$67&lt;&gt;"OK")*(INSUMOS!$J$5:$J$67&lt;&gt;""),ROW(INSUMOS!$J$5:$J$67)),8),"")),"")</f>
        <v/>
      </c>
      <c r="B29" s="6">
        <f>IFERROR(INDEX(INSUMOS!C:C,IFERROR(SMALL(IF((INSUMOS!$J$5:$J$67&lt;&gt;"OK")*(INSUMOS!$J$5:$J$67&lt;&gt;""),ROW(INSUMOS!$J$5:$J$67)),8),"")),"")</f>
        <v/>
      </c>
      <c r="C29" s="6">
        <f>IFERROR(INDEX(INSUMOS!H:H,IFERROR(SMALL(IF((INSUMOS!$J$5:$J$67&lt;&gt;"OK")*(INSUMOS!$J$5:$J$67&lt;&gt;""),ROW(INSUMOS!$J$5:$J$67)),8),"")),"")</f>
        <v/>
      </c>
      <c r="D29" s="6">
        <f>IFERROR(INDEX(INSUMOS!I:I,IFERROR(SMALL(IF((INSUMOS!$J$5:$J$67&lt;&gt;"OK")*(INSUMOS!$J$5:$J$67&lt;&gt;""),ROW(INSUMOS!$J$5:$J$67)),8),"")),"")</f>
        <v/>
      </c>
      <c r="E29" s="6">
        <f>IFERROR(INDEX(INSUMOS!J:J,IFERROR(SMALL(IF((INSUMOS!$J$5:$J$67&lt;&gt;"OK")*(INSUMOS!$J$5:$J$67&lt;&gt;""),ROW(INSUMOS!$J$5:$J$67)),8),"")),"")</f>
        <v/>
      </c>
      <c r="F29" s="5">
        <f>IFERROR(INDEX(INSUMOS!M:M,IFERROR(SMALL(IF((INSUMOS!$J$5:$J$67&lt;&gt;"OK")*(INSUMOS!$J$5:$J$67&lt;&gt;""),ROW(INSUMOS!$J$5:$J$67)),8),"")),"")</f>
        <v/>
      </c>
    </row>
    <row r="30">
      <c r="A30" s="5">
        <f>IFERROR(INDEX(INSUMOS!B:B,IFERROR(SMALL(IF((INSUMOS!$J$5:$J$67&lt;&gt;"OK")*(INSUMOS!$J$5:$J$67&lt;&gt;""),ROW(INSUMOS!$J$5:$J$67)),9),"")),"")</f>
        <v/>
      </c>
      <c r="B30" s="6">
        <f>IFERROR(INDEX(INSUMOS!C:C,IFERROR(SMALL(IF((INSUMOS!$J$5:$J$67&lt;&gt;"OK")*(INSUMOS!$J$5:$J$67&lt;&gt;""),ROW(INSUMOS!$J$5:$J$67)),9),"")),"")</f>
        <v/>
      </c>
      <c r="C30" s="6">
        <f>IFERROR(INDEX(INSUMOS!H:H,IFERROR(SMALL(IF((INSUMOS!$J$5:$J$67&lt;&gt;"OK")*(INSUMOS!$J$5:$J$67&lt;&gt;""),ROW(INSUMOS!$J$5:$J$67)),9),"")),"")</f>
        <v/>
      </c>
      <c r="D30" s="6">
        <f>IFERROR(INDEX(INSUMOS!I:I,IFERROR(SMALL(IF((INSUMOS!$J$5:$J$67&lt;&gt;"OK")*(INSUMOS!$J$5:$J$67&lt;&gt;""),ROW(INSUMOS!$J$5:$J$67)),9),"")),"")</f>
        <v/>
      </c>
      <c r="E30" s="6">
        <f>IFERROR(INDEX(INSUMOS!J:J,IFERROR(SMALL(IF((INSUMOS!$J$5:$J$67&lt;&gt;"OK")*(INSUMOS!$J$5:$J$67&lt;&gt;""),ROW(INSUMOS!$J$5:$J$67)),9),"")),"")</f>
        <v/>
      </c>
      <c r="F30" s="5">
        <f>IFERROR(INDEX(INSUMOS!M:M,IFERROR(SMALL(IF((INSUMOS!$J$5:$J$67&lt;&gt;"OK")*(INSUMOS!$J$5:$J$67&lt;&gt;""),ROW(INSUMOS!$J$5:$J$67)),9),"")),"")</f>
        <v/>
      </c>
    </row>
    <row r="31">
      <c r="A31" s="5">
        <f>IFERROR(INDEX(INSUMOS!B:B,IFERROR(SMALL(IF((INSUMOS!$J$5:$J$67&lt;&gt;"OK")*(INSUMOS!$J$5:$J$67&lt;&gt;""),ROW(INSUMOS!$J$5:$J$67)),10),"")),"")</f>
        <v/>
      </c>
      <c r="B31" s="6">
        <f>IFERROR(INDEX(INSUMOS!C:C,IFERROR(SMALL(IF((INSUMOS!$J$5:$J$67&lt;&gt;"OK")*(INSUMOS!$J$5:$J$67&lt;&gt;""),ROW(INSUMOS!$J$5:$J$67)),10),"")),"")</f>
        <v/>
      </c>
      <c r="C31" s="6">
        <f>IFERROR(INDEX(INSUMOS!H:H,IFERROR(SMALL(IF((INSUMOS!$J$5:$J$67&lt;&gt;"OK")*(INSUMOS!$J$5:$J$67&lt;&gt;""),ROW(INSUMOS!$J$5:$J$67)),10),"")),"")</f>
        <v/>
      </c>
      <c r="D31" s="6">
        <f>IFERROR(INDEX(INSUMOS!I:I,IFERROR(SMALL(IF((INSUMOS!$J$5:$J$67&lt;&gt;"OK")*(INSUMOS!$J$5:$J$67&lt;&gt;""),ROW(INSUMOS!$J$5:$J$67)),10),"")),"")</f>
        <v/>
      </c>
      <c r="E31" s="6">
        <f>IFERROR(INDEX(INSUMOS!J:J,IFERROR(SMALL(IF((INSUMOS!$J$5:$J$67&lt;&gt;"OK")*(INSUMOS!$J$5:$J$67&lt;&gt;""),ROW(INSUMOS!$J$5:$J$67)),10),"")),"")</f>
        <v/>
      </c>
      <c r="F31" s="5">
        <f>IFERROR(INDEX(INSUMOS!M:M,IFERROR(SMALL(IF((INSUMOS!$J$5:$J$67&lt;&gt;"OK")*(INSUMOS!$J$5:$J$67&lt;&gt;""),ROW(INSUMOS!$J$5:$J$67)),10),"")),"")</f>
        <v/>
      </c>
    </row>
    <row r="32">
      <c r="A32" s="5">
        <f>IFERROR(INDEX(INSUMOS!B:B,IFERROR(SMALL(IF((INSUMOS!$J$5:$J$67&lt;&gt;"OK")*(INSUMOS!$J$5:$J$67&lt;&gt;""),ROW(INSUMOS!$J$5:$J$67)),11),"")),"")</f>
        <v/>
      </c>
      <c r="B32" s="6">
        <f>IFERROR(INDEX(INSUMOS!C:C,IFERROR(SMALL(IF((INSUMOS!$J$5:$J$67&lt;&gt;"OK")*(INSUMOS!$J$5:$J$67&lt;&gt;""),ROW(INSUMOS!$J$5:$J$67)),11),"")),"")</f>
        <v/>
      </c>
      <c r="C32" s="6">
        <f>IFERROR(INDEX(INSUMOS!H:H,IFERROR(SMALL(IF((INSUMOS!$J$5:$J$67&lt;&gt;"OK")*(INSUMOS!$J$5:$J$67&lt;&gt;""),ROW(INSUMOS!$J$5:$J$67)),11),"")),"")</f>
        <v/>
      </c>
      <c r="D32" s="6">
        <f>IFERROR(INDEX(INSUMOS!I:I,IFERROR(SMALL(IF((INSUMOS!$J$5:$J$67&lt;&gt;"OK")*(INSUMOS!$J$5:$J$67&lt;&gt;""),ROW(INSUMOS!$J$5:$J$67)),11),"")),"")</f>
        <v/>
      </c>
      <c r="E32" s="6">
        <f>IFERROR(INDEX(INSUMOS!J:J,IFERROR(SMALL(IF((INSUMOS!$J$5:$J$67&lt;&gt;"OK")*(INSUMOS!$J$5:$J$67&lt;&gt;""),ROW(INSUMOS!$J$5:$J$67)),11),"")),"")</f>
        <v/>
      </c>
      <c r="F32" s="5">
        <f>IFERROR(INDEX(INSUMOS!M:M,IFERROR(SMALL(IF((INSUMOS!$J$5:$J$67&lt;&gt;"OK")*(INSUMOS!$J$5:$J$67&lt;&gt;""),ROW(INSUMOS!$J$5:$J$67)),11),"")),"")</f>
        <v/>
      </c>
    </row>
    <row r="33">
      <c r="A33" s="5">
        <f>IFERROR(INDEX(INSUMOS!B:B,IFERROR(SMALL(IF((INSUMOS!$J$5:$J$67&lt;&gt;"OK")*(INSUMOS!$J$5:$J$67&lt;&gt;""),ROW(INSUMOS!$J$5:$J$67)),12),"")),"")</f>
        <v/>
      </c>
      <c r="B33" s="6">
        <f>IFERROR(INDEX(INSUMOS!C:C,IFERROR(SMALL(IF((INSUMOS!$J$5:$J$67&lt;&gt;"OK")*(INSUMOS!$J$5:$J$67&lt;&gt;""),ROW(INSUMOS!$J$5:$J$67)),12),"")),"")</f>
        <v/>
      </c>
      <c r="C33" s="6">
        <f>IFERROR(INDEX(INSUMOS!H:H,IFERROR(SMALL(IF((INSUMOS!$J$5:$J$67&lt;&gt;"OK")*(INSUMOS!$J$5:$J$67&lt;&gt;""),ROW(INSUMOS!$J$5:$J$67)),12),"")),"")</f>
        <v/>
      </c>
      <c r="D33" s="6">
        <f>IFERROR(INDEX(INSUMOS!I:I,IFERROR(SMALL(IF((INSUMOS!$J$5:$J$67&lt;&gt;"OK")*(INSUMOS!$J$5:$J$67&lt;&gt;""),ROW(INSUMOS!$J$5:$J$67)),12),"")),"")</f>
        <v/>
      </c>
      <c r="E33" s="6">
        <f>IFERROR(INDEX(INSUMOS!J:J,IFERROR(SMALL(IF((INSUMOS!$J$5:$J$67&lt;&gt;"OK")*(INSUMOS!$J$5:$J$67&lt;&gt;""),ROW(INSUMOS!$J$5:$J$67)),12),"")),"")</f>
        <v/>
      </c>
      <c r="F33" s="5">
        <f>IFERROR(INDEX(INSUMOS!M:M,IFERROR(SMALL(IF((INSUMOS!$J$5:$J$67&lt;&gt;"OK")*(INSUMOS!$J$5:$J$67&lt;&gt;""),ROW(INSUMOS!$J$5:$J$67)),12),"")),"")</f>
        <v/>
      </c>
    </row>
    <row r="34">
      <c r="A34" s="5">
        <f>IFERROR(INDEX(INSUMOS!B:B,IFERROR(SMALL(IF((INSUMOS!$J$5:$J$67&lt;&gt;"OK")*(INSUMOS!$J$5:$J$67&lt;&gt;""),ROW(INSUMOS!$J$5:$J$67)),13),"")),"")</f>
        <v/>
      </c>
      <c r="B34" s="6">
        <f>IFERROR(INDEX(INSUMOS!C:C,IFERROR(SMALL(IF((INSUMOS!$J$5:$J$67&lt;&gt;"OK")*(INSUMOS!$J$5:$J$67&lt;&gt;""),ROW(INSUMOS!$J$5:$J$67)),13),"")),"")</f>
        <v/>
      </c>
      <c r="C34" s="6">
        <f>IFERROR(INDEX(INSUMOS!H:H,IFERROR(SMALL(IF((INSUMOS!$J$5:$J$67&lt;&gt;"OK")*(INSUMOS!$J$5:$J$67&lt;&gt;""),ROW(INSUMOS!$J$5:$J$67)),13),"")),"")</f>
        <v/>
      </c>
      <c r="D34" s="6">
        <f>IFERROR(INDEX(INSUMOS!I:I,IFERROR(SMALL(IF((INSUMOS!$J$5:$J$67&lt;&gt;"OK")*(INSUMOS!$J$5:$J$67&lt;&gt;""),ROW(INSUMOS!$J$5:$J$67)),13),"")),"")</f>
        <v/>
      </c>
      <c r="E34" s="6">
        <f>IFERROR(INDEX(INSUMOS!J:J,IFERROR(SMALL(IF((INSUMOS!$J$5:$J$67&lt;&gt;"OK")*(INSUMOS!$J$5:$J$67&lt;&gt;""),ROW(INSUMOS!$J$5:$J$67)),13),"")),"")</f>
        <v/>
      </c>
      <c r="F34" s="5">
        <f>IFERROR(INDEX(INSUMOS!M:M,IFERROR(SMALL(IF((INSUMOS!$J$5:$J$67&lt;&gt;"OK")*(INSUMOS!$J$5:$J$67&lt;&gt;""),ROW(INSUMOS!$J$5:$J$67)),13),"")),"")</f>
        <v/>
      </c>
    </row>
    <row r="35">
      <c r="A35" s="5">
        <f>IFERROR(INDEX(INSUMOS!B:B,IFERROR(SMALL(IF((INSUMOS!$J$5:$J$67&lt;&gt;"OK")*(INSUMOS!$J$5:$J$67&lt;&gt;""),ROW(INSUMOS!$J$5:$J$67)),14),"")),"")</f>
        <v/>
      </c>
      <c r="B35" s="6">
        <f>IFERROR(INDEX(INSUMOS!C:C,IFERROR(SMALL(IF((INSUMOS!$J$5:$J$67&lt;&gt;"OK")*(INSUMOS!$J$5:$J$67&lt;&gt;""),ROW(INSUMOS!$J$5:$J$67)),14),"")),"")</f>
        <v/>
      </c>
      <c r="C35" s="6">
        <f>IFERROR(INDEX(INSUMOS!H:H,IFERROR(SMALL(IF((INSUMOS!$J$5:$J$67&lt;&gt;"OK")*(INSUMOS!$J$5:$J$67&lt;&gt;""),ROW(INSUMOS!$J$5:$J$67)),14),"")),"")</f>
        <v/>
      </c>
      <c r="D35" s="6">
        <f>IFERROR(INDEX(INSUMOS!I:I,IFERROR(SMALL(IF((INSUMOS!$J$5:$J$67&lt;&gt;"OK")*(INSUMOS!$J$5:$J$67&lt;&gt;""),ROW(INSUMOS!$J$5:$J$67)),14),"")),"")</f>
        <v/>
      </c>
      <c r="E35" s="6">
        <f>IFERROR(INDEX(INSUMOS!J:J,IFERROR(SMALL(IF((INSUMOS!$J$5:$J$67&lt;&gt;"OK")*(INSUMOS!$J$5:$J$67&lt;&gt;""),ROW(INSUMOS!$J$5:$J$67)),14),"")),"")</f>
        <v/>
      </c>
      <c r="F35" s="5">
        <f>IFERROR(INDEX(INSUMOS!M:M,IFERROR(SMALL(IF((INSUMOS!$J$5:$J$67&lt;&gt;"OK")*(INSUMOS!$J$5:$J$67&lt;&gt;""),ROW(INSUMOS!$J$5:$J$67)),14),"")),"")</f>
        <v/>
      </c>
    </row>
    <row r="36">
      <c r="A36" s="5">
        <f>IFERROR(INDEX(INSUMOS!B:B,IFERROR(SMALL(IF((INSUMOS!$J$5:$J$67&lt;&gt;"OK")*(INSUMOS!$J$5:$J$67&lt;&gt;""),ROW(INSUMOS!$J$5:$J$67)),15),"")),"")</f>
        <v/>
      </c>
      <c r="B36" s="6">
        <f>IFERROR(INDEX(INSUMOS!C:C,IFERROR(SMALL(IF((INSUMOS!$J$5:$J$67&lt;&gt;"OK")*(INSUMOS!$J$5:$J$67&lt;&gt;""),ROW(INSUMOS!$J$5:$J$67)),15),"")),"")</f>
        <v/>
      </c>
      <c r="C36" s="6">
        <f>IFERROR(INDEX(INSUMOS!H:H,IFERROR(SMALL(IF((INSUMOS!$J$5:$J$67&lt;&gt;"OK")*(INSUMOS!$J$5:$J$67&lt;&gt;""),ROW(INSUMOS!$J$5:$J$67)),15),"")),"")</f>
        <v/>
      </c>
      <c r="D36" s="6">
        <f>IFERROR(INDEX(INSUMOS!I:I,IFERROR(SMALL(IF((INSUMOS!$J$5:$J$67&lt;&gt;"OK")*(INSUMOS!$J$5:$J$67&lt;&gt;""),ROW(INSUMOS!$J$5:$J$67)),15),"")),"")</f>
        <v/>
      </c>
      <c r="E36" s="6">
        <f>IFERROR(INDEX(INSUMOS!J:J,IFERROR(SMALL(IF((INSUMOS!$J$5:$J$67&lt;&gt;"OK")*(INSUMOS!$J$5:$J$67&lt;&gt;""),ROW(INSUMOS!$J$5:$J$67)),15),"")),"")</f>
        <v/>
      </c>
      <c r="F36" s="5">
        <f>IFERROR(INDEX(INSUMOS!M:M,IFERROR(SMALL(IF((INSUMOS!$J$5:$J$67&lt;&gt;"OK")*(INSUMOS!$J$5:$J$67&lt;&gt;""),ROW(INSUMOS!$J$5:$J$67)),15),"")),"")</f>
        <v/>
      </c>
    </row>
    <row r="37">
      <c r="A37" s="5">
        <f>IFERROR(INDEX(INSUMOS!B:B,IFERROR(SMALL(IF((INSUMOS!$J$5:$J$67&lt;&gt;"OK")*(INSUMOS!$J$5:$J$67&lt;&gt;""),ROW(INSUMOS!$J$5:$J$67)),16),"")),"")</f>
        <v/>
      </c>
      <c r="B37" s="6">
        <f>IFERROR(INDEX(INSUMOS!C:C,IFERROR(SMALL(IF((INSUMOS!$J$5:$J$67&lt;&gt;"OK")*(INSUMOS!$J$5:$J$67&lt;&gt;""),ROW(INSUMOS!$J$5:$J$67)),16),"")),"")</f>
        <v/>
      </c>
      <c r="C37" s="6">
        <f>IFERROR(INDEX(INSUMOS!H:H,IFERROR(SMALL(IF((INSUMOS!$J$5:$J$67&lt;&gt;"OK")*(INSUMOS!$J$5:$J$67&lt;&gt;""),ROW(INSUMOS!$J$5:$J$67)),16),"")),"")</f>
        <v/>
      </c>
      <c r="D37" s="6">
        <f>IFERROR(INDEX(INSUMOS!I:I,IFERROR(SMALL(IF((INSUMOS!$J$5:$J$67&lt;&gt;"OK")*(INSUMOS!$J$5:$J$67&lt;&gt;""),ROW(INSUMOS!$J$5:$J$67)),16),"")),"")</f>
        <v/>
      </c>
      <c r="E37" s="6">
        <f>IFERROR(INDEX(INSUMOS!J:J,IFERROR(SMALL(IF((INSUMOS!$J$5:$J$67&lt;&gt;"OK")*(INSUMOS!$J$5:$J$67&lt;&gt;""),ROW(INSUMOS!$J$5:$J$67)),16),"")),"")</f>
        <v/>
      </c>
      <c r="F37" s="5">
        <f>IFERROR(INDEX(INSUMOS!M:M,IFERROR(SMALL(IF((INSUMOS!$J$5:$J$67&lt;&gt;"OK")*(INSUMOS!$J$5:$J$67&lt;&gt;""),ROW(INSUMOS!$J$5:$J$67)),16),"")),"")</f>
        <v/>
      </c>
    </row>
    <row r="38">
      <c r="A38" s="5">
        <f>IFERROR(INDEX(INSUMOS!B:B,IFERROR(SMALL(IF((INSUMOS!$J$5:$J$67&lt;&gt;"OK")*(INSUMOS!$J$5:$J$67&lt;&gt;""),ROW(INSUMOS!$J$5:$J$67)),17),"")),"")</f>
        <v/>
      </c>
      <c r="B38" s="6">
        <f>IFERROR(INDEX(INSUMOS!C:C,IFERROR(SMALL(IF((INSUMOS!$J$5:$J$67&lt;&gt;"OK")*(INSUMOS!$J$5:$J$67&lt;&gt;""),ROW(INSUMOS!$J$5:$J$67)),17),"")),"")</f>
        <v/>
      </c>
      <c r="C38" s="6">
        <f>IFERROR(INDEX(INSUMOS!H:H,IFERROR(SMALL(IF((INSUMOS!$J$5:$J$67&lt;&gt;"OK")*(INSUMOS!$J$5:$J$67&lt;&gt;""),ROW(INSUMOS!$J$5:$J$67)),17),"")),"")</f>
        <v/>
      </c>
      <c r="D38" s="6">
        <f>IFERROR(INDEX(INSUMOS!I:I,IFERROR(SMALL(IF((INSUMOS!$J$5:$J$67&lt;&gt;"OK")*(INSUMOS!$J$5:$J$67&lt;&gt;""),ROW(INSUMOS!$J$5:$J$67)),17),"")),"")</f>
        <v/>
      </c>
      <c r="E38" s="6">
        <f>IFERROR(INDEX(INSUMOS!J:J,IFERROR(SMALL(IF((INSUMOS!$J$5:$J$67&lt;&gt;"OK")*(INSUMOS!$J$5:$J$67&lt;&gt;""),ROW(INSUMOS!$J$5:$J$67)),17),"")),"")</f>
        <v/>
      </c>
      <c r="F38" s="5">
        <f>IFERROR(INDEX(INSUMOS!M:M,IFERROR(SMALL(IF((INSUMOS!$J$5:$J$67&lt;&gt;"OK")*(INSUMOS!$J$5:$J$67&lt;&gt;""),ROW(INSUMOS!$J$5:$J$67)),17),"")),"")</f>
        <v/>
      </c>
    </row>
    <row r="39">
      <c r="A39" s="5">
        <f>IFERROR(INDEX(INSUMOS!B:B,IFERROR(SMALL(IF((INSUMOS!$J$5:$J$67&lt;&gt;"OK")*(INSUMOS!$J$5:$J$67&lt;&gt;""),ROW(INSUMOS!$J$5:$J$67)),18),"")),"")</f>
        <v/>
      </c>
      <c r="B39" s="6">
        <f>IFERROR(INDEX(INSUMOS!C:C,IFERROR(SMALL(IF((INSUMOS!$J$5:$J$67&lt;&gt;"OK")*(INSUMOS!$J$5:$J$67&lt;&gt;""),ROW(INSUMOS!$J$5:$J$67)),18),"")),"")</f>
        <v/>
      </c>
      <c r="C39" s="6">
        <f>IFERROR(INDEX(INSUMOS!H:H,IFERROR(SMALL(IF((INSUMOS!$J$5:$J$67&lt;&gt;"OK")*(INSUMOS!$J$5:$J$67&lt;&gt;""),ROW(INSUMOS!$J$5:$J$67)),18),"")),"")</f>
        <v/>
      </c>
      <c r="D39" s="6">
        <f>IFERROR(INDEX(INSUMOS!I:I,IFERROR(SMALL(IF((INSUMOS!$J$5:$J$67&lt;&gt;"OK")*(INSUMOS!$J$5:$J$67&lt;&gt;""),ROW(INSUMOS!$J$5:$J$67)),18),"")),"")</f>
        <v/>
      </c>
      <c r="E39" s="6">
        <f>IFERROR(INDEX(INSUMOS!J:J,IFERROR(SMALL(IF((INSUMOS!$J$5:$J$67&lt;&gt;"OK")*(INSUMOS!$J$5:$J$67&lt;&gt;""),ROW(INSUMOS!$J$5:$J$67)),18),"")),"")</f>
        <v/>
      </c>
      <c r="F39" s="5">
        <f>IFERROR(INDEX(INSUMOS!M:M,IFERROR(SMALL(IF((INSUMOS!$J$5:$J$67&lt;&gt;"OK")*(INSUMOS!$J$5:$J$67&lt;&gt;""),ROW(INSUMOS!$J$5:$J$67)),18),"")),"")</f>
        <v/>
      </c>
    </row>
    <row r="40">
      <c r="A40" s="5">
        <f>IFERROR(INDEX(INSUMOS!B:B,IFERROR(SMALL(IF((INSUMOS!$J$5:$J$67&lt;&gt;"OK")*(INSUMOS!$J$5:$J$67&lt;&gt;""),ROW(INSUMOS!$J$5:$J$67)),19),"")),"")</f>
        <v/>
      </c>
      <c r="B40" s="6">
        <f>IFERROR(INDEX(INSUMOS!C:C,IFERROR(SMALL(IF((INSUMOS!$J$5:$J$67&lt;&gt;"OK")*(INSUMOS!$J$5:$J$67&lt;&gt;""),ROW(INSUMOS!$J$5:$J$67)),19),"")),"")</f>
        <v/>
      </c>
      <c r="C40" s="6">
        <f>IFERROR(INDEX(INSUMOS!H:H,IFERROR(SMALL(IF((INSUMOS!$J$5:$J$67&lt;&gt;"OK")*(INSUMOS!$J$5:$J$67&lt;&gt;""),ROW(INSUMOS!$J$5:$J$67)),19),"")),"")</f>
        <v/>
      </c>
      <c r="D40" s="6">
        <f>IFERROR(INDEX(INSUMOS!I:I,IFERROR(SMALL(IF((INSUMOS!$J$5:$J$67&lt;&gt;"OK")*(INSUMOS!$J$5:$J$67&lt;&gt;""),ROW(INSUMOS!$J$5:$J$67)),19),"")),"")</f>
        <v/>
      </c>
      <c r="E40" s="6">
        <f>IFERROR(INDEX(INSUMOS!J:J,IFERROR(SMALL(IF((INSUMOS!$J$5:$J$67&lt;&gt;"OK")*(INSUMOS!$J$5:$J$67&lt;&gt;""),ROW(INSUMOS!$J$5:$J$67)),19),"")),"")</f>
        <v/>
      </c>
      <c r="F40" s="5">
        <f>IFERROR(INDEX(INSUMOS!M:M,IFERROR(SMALL(IF((INSUMOS!$J$5:$J$67&lt;&gt;"OK")*(INSUMOS!$J$5:$J$67&lt;&gt;""),ROW(INSUMOS!$J$5:$J$67)),19),"")),"")</f>
        <v/>
      </c>
    </row>
    <row r="41">
      <c r="A41" s="5">
        <f>IFERROR(INDEX(INSUMOS!B:B,IFERROR(SMALL(IF((INSUMOS!$J$5:$J$67&lt;&gt;"OK")*(INSUMOS!$J$5:$J$67&lt;&gt;""),ROW(INSUMOS!$J$5:$J$67)),20),"")),"")</f>
        <v/>
      </c>
      <c r="B41" s="6">
        <f>IFERROR(INDEX(INSUMOS!C:C,IFERROR(SMALL(IF((INSUMOS!$J$5:$J$67&lt;&gt;"OK")*(INSUMOS!$J$5:$J$67&lt;&gt;""),ROW(INSUMOS!$J$5:$J$67)),20),"")),"")</f>
        <v/>
      </c>
      <c r="C41" s="6">
        <f>IFERROR(INDEX(INSUMOS!H:H,IFERROR(SMALL(IF((INSUMOS!$J$5:$J$67&lt;&gt;"OK")*(INSUMOS!$J$5:$J$67&lt;&gt;""),ROW(INSUMOS!$J$5:$J$67)),20),"")),"")</f>
        <v/>
      </c>
      <c r="D41" s="6">
        <f>IFERROR(INDEX(INSUMOS!I:I,IFERROR(SMALL(IF((INSUMOS!$J$5:$J$67&lt;&gt;"OK")*(INSUMOS!$J$5:$J$67&lt;&gt;""),ROW(INSUMOS!$J$5:$J$67)),20),"")),"")</f>
        <v/>
      </c>
      <c r="E41" s="6">
        <f>IFERROR(INDEX(INSUMOS!J:J,IFERROR(SMALL(IF((INSUMOS!$J$5:$J$67&lt;&gt;"OK")*(INSUMOS!$J$5:$J$67&lt;&gt;""),ROW(INSUMOS!$J$5:$J$67)),20),"")),"")</f>
        <v/>
      </c>
      <c r="F41" s="5">
        <f>IFERROR(INDEX(INSUMOS!M:M,IFERROR(SMALL(IF((INSUMOS!$J$5:$J$67&lt;&gt;"OK")*(INSUMOS!$J$5:$J$67&lt;&gt;""),ROW(INSUMOS!$J$5:$J$67)),20),"")),"")</f>
        <v/>
      </c>
    </row>
    <row r="42">
      <c r="A42" s="5">
        <f>IFERROR(INDEX(INSUMOS!B:B,IFERROR(SMALL(IF((INSUMOS!$J$5:$J$67&lt;&gt;"OK")*(INSUMOS!$J$5:$J$67&lt;&gt;""),ROW(INSUMOS!$J$5:$J$67)),21),"")),"")</f>
        <v/>
      </c>
      <c r="B42" s="6">
        <f>IFERROR(INDEX(INSUMOS!C:C,IFERROR(SMALL(IF((INSUMOS!$J$5:$J$67&lt;&gt;"OK")*(INSUMOS!$J$5:$J$67&lt;&gt;""),ROW(INSUMOS!$J$5:$J$67)),21),"")),"")</f>
        <v/>
      </c>
      <c r="C42" s="6">
        <f>IFERROR(INDEX(INSUMOS!H:H,IFERROR(SMALL(IF((INSUMOS!$J$5:$J$67&lt;&gt;"OK")*(INSUMOS!$J$5:$J$67&lt;&gt;""),ROW(INSUMOS!$J$5:$J$67)),21),"")),"")</f>
        <v/>
      </c>
      <c r="D42" s="6">
        <f>IFERROR(INDEX(INSUMOS!I:I,IFERROR(SMALL(IF((INSUMOS!$J$5:$J$67&lt;&gt;"OK")*(INSUMOS!$J$5:$J$67&lt;&gt;""),ROW(INSUMOS!$J$5:$J$67)),21),"")),"")</f>
        <v/>
      </c>
      <c r="E42" s="6">
        <f>IFERROR(INDEX(INSUMOS!J:J,IFERROR(SMALL(IF((INSUMOS!$J$5:$J$67&lt;&gt;"OK")*(INSUMOS!$J$5:$J$67&lt;&gt;""),ROW(INSUMOS!$J$5:$J$67)),21),"")),"")</f>
        <v/>
      </c>
      <c r="F42" s="5">
        <f>IFERROR(INDEX(INSUMOS!M:M,IFERROR(SMALL(IF((INSUMOS!$J$5:$J$67&lt;&gt;"OK")*(INSUMOS!$J$5:$J$67&lt;&gt;""),ROW(INSUMOS!$J$5:$J$67)),21),"")),"")</f>
        <v/>
      </c>
    </row>
    <row r="43">
      <c r="A43" s="5">
        <f>IFERROR(INDEX(INSUMOS!B:B,IFERROR(SMALL(IF((INSUMOS!$J$5:$J$67&lt;&gt;"OK")*(INSUMOS!$J$5:$J$67&lt;&gt;""),ROW(INSUMOS!$J$5:$J$67)),22),"")),"")</f>
        <v/>
      </c>
      <c r="B43" s="6">
        <f>IFERROR(INDEX(INSUMOS!C:C,IFERROR(SMALL(IF((INSUMOS!$J$5:$J$67&lt;&gt;"OK")*(INSUMOS!$J$5:$J$67&lt;&gt;""),ROW(INSUMOS!$J$5:$J$67)),22),"")),"")</f>
        <v/>
      </c>
      <c r="C43" s="6">
        <f>IFERROR(INDEX(INSUMOS!H:H,IFERROR(SMALL(IF((INSUMOS!$J$5:$J$67&lt;&gt;"OK")*(INSUMOS!$J$5:$J$67&lt;&gt;""),ROW(INSUMOS!$J$5:$J$67)),22),"")),"")</f>
        <v/>
      </c>
      <c r="D43" s="6">
        <f>IFERROR(INDEX(INSUMOS!I:I,IFERROR(SMALL(IF((INSUMOS!$J$5:$J$67&lt;&gt;"OK")*(INSUMOS!$J$5:$J$67&lt;&gt;""),ROW(INSUMOS!$J$5:$J$67)),22),"")),"")</f>
        <v/>
      </c>
      <c r="E43" s="6">
        <f>IFERROR(INDEX(INSUMOS!J:J,IFERROR(SMALL(IF((INSUMOS!$J$5:$J$67&lt;&gt;"OK")*(INSUMOS!$J$5:$J$67&lt;&gt;""),ROW(INSUMOS!$J$5:$J$67)),22),"")),"")</f>
        <v/>
      </c>
      <c r="F43" s="5">
        <f>IFERROR(INDEX(INSUMOS!M:M,IFERROR(SMALL(IF((INSUMOS!$J$5:$J$67&lt;&gt;"OK")*(INSUMOS!$J$5:$J$67&lt;&gt;""),ROW(INSUMOS!$J$5:$J$67)),22),"")),"")</f>
        <v/>
      </c>
    </row>
    <row r="44">
      <c r="A44" s="5">
        <f>IFERROR(INDEX(INSUMOS!B:B,IFERROR(SMALL(IF((INSUMOS!$J$5:$J$67&lt;&gt;"OK")*(INSUMOS!$J$5:$J$67&lt;&gt;""),ROW(INSUMOS!$J$5:$J$67)),23),"")),"")</f>
        <v/>
      </c>
      <c r="B44" s="6">
        <f>IFERROR(INDEX(INSUMOS!C:C,IFERROR(SMALL(IF((INSUMOS!$J$5:$J$67&lt;&gt;"OK")*(INSUMOS!$J$5:$J$67&lt;&gt;""),ROW(INSUMOS!$J$5:$J$67)),23),"")),"")</f>
        <v/>
      </c>
      <c r="C44" s="6">
        <f>IFERROR(INDEX(INSUMOS!H:H,IFERROR(SMALL(IF((INSUMOS!$J$5:$J$67&lt;&gt;"OK")*(INSUMOS!$J$5:$J$67&lt;&gt;""),ROW(INSUMOS!$J$5:$J$67)),23),"")),"")</f>
        <v/>
      </c>
      <c r="D44" s="6">
        <f>IFERROR(INDEX(INSUMOS!I:I,IFERROR(SMALL(IF((INSUMOS!$J$5:$J$67&lt;&gt;"OK")*(INSUMOS!$J$5:$J$67&lt;&gt;""),ROW(INSUMOS!$J$5:$J$67)),23),"")),"")</f>
        <v/>
      </c>
      <c r="E44" s="6">
        <f>IFERROR(INDEX(INSUMOS!J:J,IFERROR(SMALL(IF((INSUMOS!$J$5:$J$67&lt;&gt;"OK")*(INSUMOS!$J$5:$J$67&lt;&gt;""),ROW(INSUMOS!$J$5:$J$67)),23),"")),"")</f>
        <v/>
      </c>
      <c r="F44" s="5">
        <f>IFERROR(INDEX(INSUMOS!M:M,IFERROR(SMALL(IF((INSUMOS!$J$5:$J$67&lt;&gt;"OK")*(INSUMOS!$J$5:$J$67&lt;&gt;""),ROW(INSUMOS!$J$5:$J$67)),23),"")),"")</f>
        <v/>
      </c>
    </row>
    <row r="45">
      <c r="A45" s="5">
        <f>IFERROR(INDEX(INSUMOS!B:B,IFERROR(SMALL(IF((INSUMOS!$J$5:$J$67&lt;&gt;"OK")*(INSUMOS!$J$5:$J$67&lt;&gt;""),ROW(INSUMOS!$J$5:$J$67)),24),"")),"")</f>
        <v/>
      </c>
      <c r="B45" s="6">
        <f>IFERROR(INDEX(INSUMOS!C:C,IFERROR(SMALL(IF((INSUMOS!$J$5:$J$67&lt;&gt;"OK")*(INSUMOS!$J$5:$J$67&lt;&gt;""),ROW(INSUMOS!$J$5:$J$67)),24),"")),"")</f>
        <v/>
      </c>
      <c r="C45" s="6">
        <f>IFERROR(INDEX(INSUMOS!H:H,IFERROR(SMALL(IF((INSUMOS!$J$5:$J$67&lt;&gt;"OK")*(INSUMOS!$J$5:$J$67&lt;&gt;""),ROW(INSUMOS!$J$5:$J$67)),24),"")),"")</f>
        <v/>
      </c>
      <c r="D45" s="6">
        <f>IFERROR(INDEX(INSUMOS!I:I,IFERROR(SMALL(IF((INSUMOS!$J$5:$J$67&lt;&gt;"OK")*(INSUMOS!$J$5:$J$67&lt;&gt;""),ROW(INSUMOS!$J$5:$J$67)),24),"")),"")</f>
        <v/>
      </c>
      <c r="E45" s="6">
        <f>IFERROR(INDEX(INSUMOS!J:J,IFERROR(SMALL(IF((INSUMOS!$J$5:$J$67&lt;&gt;"OK")*(INSUMOS!$J$5:$J$67&lt;&gt;""),ROW(INSUMOS!$J$5:$J$67)),24),"")),"")</f>
        <v/>
      </c>
      <c r="F45" s="5">
        <f>IFERROR(INDEX(INSUMOS!M:M,IFERROR(SMALL(IF((INSUMOS!$J$5:$J$67&lt;&gt;"OK")*(INSUMOS!$J$5:$J$67&lt;&gt;""),ROW(INSUMOS!$J$5:$J$67)),24),"")),"")</f>
        <v/>
      </c>
    </row>
    <row r="46">
      <c r="A46" s="5">
        <f>IFERROR(INDEX(INSUMOS!B:B,IFERROR(SMALL(IF((INSUMOS!$J$5:$J$67&lt;&gt;"OK")*(INSUMOS!$J$5:$J$67&lt;&gt;""),ROW(INSUMOS!$J$5:$J$67)),25),"")),"")</f>
        <v/>
      </c>
      <c r="B46" s="6">
        <f>IFERROR(INDEX(INSUMOS!C:C,IFERROR(SMALL(IF((INSUMOS!$J$5:$J$67&lt;&gt;"OK")*(INSUMOS!$J$5:$J$67&lt;&gt;""),ROW(INSUMOS!$J$5:$J$67)),25),"")),"")</f>
        <v/>
      </c>
      <c r="C46" s="6">
        <f>IFERROR(INDEX(INSUMOS!H:H,IFERROR(SMALL(IF((INSUMOS!$J$5:$J$67&lt;&gt;"OK")*(INSUMOS!$J$5:$J$67&lt;&gt;""),ROW(INSUMOS!$J$5:$J$67)),25),"")),"")</f>
        <v/>
      </c>
      <c r="D46" s="6">
        <f>IFERROR(INDEX(INSUMOS!I:I,IFERROR(SMALL(IF((INSUMOS!$J$5:$J$67&lt;&gt;"OK")*(INSUMOS!$J$5:$J$67&lt;&gt;""),ROW(INSUMOS!$J$5:$J$67)),25),"")),"")</f>
        <v/>
      </c>
      <c r="E46" s="6">
        <f>IFERROR(INDEX(INSUMOS!J:J,IFERROR(SMALL(IF((INSUMOS!$J$5:$J$67&lt;&gt;"OK")*(INSUMOS!$J$5:$J$67&lt;&gt;""),ROW(INSUMOS!$J$5:$J$67)),25),"")),"")</f>
        <v/>
      </c>
      <c r="F46" s="5">
        <f>IFERROR(INDEX(INSUMOS!M:M,IFERROR(SMALL(IF((INSUMOS!$J$5:$J$67&lt;&gt;"OK")*(INSUMOS!$J$5:$J$67&lt;&gt;""),ROW(INSUMOS!$J$5:$J$67)),25),"")),"")</f>
        <v/>
      </c>
    </row>
    <row r="47">
      <c r="A47" s="5">
        <f>IFERROR(INDEX(INSUMOS!B:B,IFERROR(SMALL(IF((INSUMOS!$J$5:$J$67&lt;&gt;"OK")*(INSUMOS!$J$5:$J$67&lt;&gt;""),ROW(INSUMOS!$J$5:$J$67)),26),"")),"")</f>
        <v/>
      </c>
      <c r="B47" s="6">
        <f>IFERROR(INDEX(INSUMOS!C:C,IFERROR(SMALL(IF((INSUMOS!$J$5:$J$67&lt;&gt;"OK")*(INSUMOS!$J$5:$J$67&lt;&gt;""),ROW(INSUMOS!$J$5:$J$67)),26),"")),"")</f>
        <v/>
      </c>
      <c r="C47" s="6">
        <f>IFERROR(INDEX(INSUMOS!H:H,IFERROR(SMALL(IF((INSUMOS!$J$5:$J$67&lt;&gt;"OK")*(INSUMOS!$J$5:$J$67&lt;&gt;""),ROW(INSUMOS!$J$5:$J$67)),26),"")),"")</f>
        <v/>
      </c>
      <c r="D47" s="6">
        <f>IFERROR(INDEX(INSUMOS!I:I,IFERROR(SMALL(IF((INSUMOS!$J$5:$J$67&lt;&gt;"OK")*(INSUMOS!$J$5:$J$67&lt;&gt;""),ROW(INSUMOS!$J$5:$J$67)),26),"")),"")</f>
        <v/>
      </c>
      <c r="E47" s="6">
        <f>IFERROR(INDEX(INSUMOS!J:J,IFERROR(SMALL(IF((INSUMOS!$J$5:$J$67&lt;&gt;"OK")*(INSUMOS!$J$5:$J$67&lt;&gt;""),ROW(INSUMOS!$J$5:$J$67)),26),"")),"")</f>
        <v/>
      </c>
      <c r="F47" s="5">
        <f>IFERROR(INDEX(INSUMOS!M:M,IFERROR(SMALL(IF((INSUMOS!$J$5:$J$67&lt;&gt;"OK")*(INSUMOS!$J$5:$J$67&lt;&gt;""),ROW(INSUMOS!$J$5:$J$67)),26),"")),"")</f>
        <v/>
      </c>
    </row>
    <row r="48">
      <c r="A48" s="5">
        <f>IFERROR(INDEX(INSUMOS!B:B,IFERROR(SMALL(IF((INSUMOS!$J$5:$J$67&lt;&gt;"OK")*(INSUMOS!$J$5:$J$67&lt;&gt;""),ROW(INSUMOS!$J$5:$J$67)),27),"")),"")</f>
        <v/>
      </c>
      <c r="B48" s="6">
        <f>IFERROR(INDEX(INSUMOS!C:C,IFERROR(SMALL(IF((INSUMOS!$J$5:$J$67&lt;&gt;"OK")*(INSUMOS!$J$5:$J$67&lt;&gt;""),ROW(INSUMOS!$J$5:$J$67)),27),"")),"")</f>
        <v/>
      </c>
      <c r="C48" s="6">
        <f>IFERROR(INDEX(INSUMOS!H:H,IFERROR(SMALL(IF((INSUMOS!$J$5:$J$67&lt;&gt;"OK")*(INSUMOS!$J$5:$J$67&lt;&gt;""),ROW(INSUMOS!$J$5:$J$67)),27),"")),"")</f>
        <v/>
      </c>
      <c r="D48" s="6">
        <f>IFERROR(INDEX(INSUMOS!I:I,IFERROR(SMALL(IF((INSUMOS!$J$5:$J$67&lt;&gt;"OK")*(INSUMOS!$J$5:$J$67&lt;&gt;""),ROW(INSUMOS!$J$5:$J$67)),27),"")),"")</f>
        <v/>
      </c>
      <c r="E48" s="6">
        <f>IFERROR(INDEX(INSUMOS!J:J,IFERROR(SMALL(IF((INSUMOS!$J$5:$J$67&lt;&gt;"OK")*(INSUMOS!$J$5:$J$67&lt;&gt;""),ROW(INSUMOS!$J$5:$J$67)),27),"")),"")</f>
        <v/>
      </c>
      <c r="F48" s="5">
        <f>IFERROR(INDEX(INSUMOS!M:M,IFERROR(SMALL(IF((INSUMOS!$J$5:$J$67&lt;&gt;"OK")*(INSUMOS!$J$5:$J$67&lt;&gt;""),ROW(INSUMOS!$J$5:$J$67)),27),"")),"")</f>
        <v/>
      </c>
    </row>
    <row r="49">
      <c r="A49" s="5">
        <f>IFERROR(INDEX(INSUMOS!B:B,IFERROR(SMALL(IF((INSUMOS!$J$5:$J$67&lt;&gt;"OK")*(INSUMOS!$J$5:$J$67&lt;&gt;""),ROW(INSUMOS!$J$5:$J$67)),28),"")),"")</f>
        <v/>
      </c>
      <c r="B49" s="6">
        <f>IFERROR(INDEX(INSUMOS!C:C,IFERROR(SMALL(IF((INSUMOS!$J$5:$J$67&lt;&gt;"OK")*(INSUMOS!$J$5:$J$67&lt;&gt;""),ROW(INSUMOS!$J$5:$J$67)),28),"")),"")</f>
        <v/>
      </c>
      <c r="C49" s="6">
        <f>IFERROR(INDEX(INSUMOS!H:H,IFERROR(SMALL(IF((INSUMOS!$J$5:$J$67&lt;&gt;"OK")*(INSUMOS!$J$5:$J$67&lt;&gt;""),ROW(INSUMOS!$J$5:$J$67)),28),"")),"")</f>
        <v/>
      </c>
      <c r="D49" s="6">
        <f>IFERROR(INDEX(INSUMOS!I:I,IFERROR(SMALL(IF((INSUMOS!$J$5:$J$67&lt;&gt;"OK")*(INSUMOS!$J$5:$J$67&lt;&gt;""),ROW(INSUMOS!$J$5:$J$67)),28),"")),"")</f>
        <v/>
      </c>
      <c r="E49" s="6">
        <f>IFERROR(INDEX(INSUMOS!J:J,IFERROR(SMALL(IF((INSUMOS!$J$5:$J$67&lt;&gt;"OK")*(INSUMOS!$J$5:$J$67&lt;&gt;""),ROW(INSUMOS!$J$5:$J$67)),28),"")),"")</f>
        <v/>
      </c>
      <c r="F49" s="5">
        <f>IFERROR(INDEX(INSUMOS!M:M,IFERROR(SMALL(IF((INSUMOS!$J$5:$J$67&lt;&gt;"OK")*(INSUMOS!$J$5:$J$67&lt;&gt;""),ROW(INSUMOS!$J$5:$J$67)),28),"")),"")</f>
        <v/>
      </c>
    </row>
    <row r="50">
      <c r="A50" s="5">
        <f>IFERROR(INDEX(INSUMOS!B:B,IFERROR(SMALL(IF((INSUMOS!$J$5:$J$67&lt;&gt;"OK")*(INSUMOS!$J$5:$J$67&lt;&gt;""),ROW(INSUMOS!$J$5:$J$67)),29),"")),"")</f>
        <v/>
      </c>
      <c r="B50" s="6">
        <f>IFERROR(INDEX(INSUMOS!C:C,IFERROR(SMALL(IF((INSUMOS!$J$5:$J$67&lt;&gt;"OK")*(INSUMOS!$J$5:$J$67&lt;&gt;""),ROW(INSUMOS!$J$5:$J$67)),29),"")),"")</f>
        <v/>
      </c>
      <c r="C50" s="6">
        <f>IFERROR(INDEX(INSUMOS!H:H,IFERROR(SMALL(IF((INSUMOS!$J$5:$J$67&lt;&gt;"OK")*(INSUMOS!$J$5:$J$67&lt;&gt;""),ROW(INSUMOS!$J$5:$J$67)),29),"")),"")</f>
        <v/>
      </c>
      <c r="D50" s="6">
        <f>IFERROR(INDEX(INSUMOS!I:I,IFERROR(SMALL(IF((INSUMOS!$J$5:$J$67&lt;&gt;"OK")*(INSUMOS!$J$5:$J$67&lt;&gt;""),ROW(INSUMOS!$J$5:$J$67)),29),"")),"")</f>
        <v/>
      </c>
      <c r="E50" s="6">
        <f>IFERROR(INDEX(INSUMOS!J:J,IFERROR(SMALL(IF((INSUMOS!$J$5:$J$67&lt;&gt;"OK")*(INSUMOS!$J$5:$J$67&lt;&gt;""),ROW(INSUMOS!$J$5:$J$67)),29),"")),"")</f>
        <v/>
      </c>
      <c r="F50" s="5">
        <f>IFERROR(INDEX(INSUMOS!M:M,IFERROR(SMALL(IF((INSUMOS!$J$5:$J$67&lt;&gt;"OK")*(INSUMOS!$J$5:$J$67&lt;&gt;""),ROW(INSUMOS!$J$5:$J$67)),29),"")),"")</f>
        <v/>
      </c>
    </row>
    <row r="51">
      <c r="A51" s="5">
        <f>IFERROR(INDEX(INSUMOS!B:B,IFERROR(SMALL(IF((INSUMOS!$J$5:$J$67&lt;&gt;"OK")*(INSUMOS!$J$5:$J$67&lt;&gt;""),ROW(INSUMOS!$J$5:$J$67)),30),"")),"")</f>
        <v/>
      </c>
      <c r="B51" s="6">
        <f>IFERROR(INDEX(INSUMOS!C:C,IFERROR(SMALL(IF((INSUMOS!$J$5:$J$67&lt;&gt;"OK")*(INSUMOS!$J$5:$J$67&lt;&gt;""),ROW(INSUMOS!$J$5:$J$67)),30),"")),"")</f>
        <v/>
      </c>
      <c r="C51" s="6">
        <f>IFERROR(INDEX(INSUMOS!H:H,IFERROR(SMALL(IF((INSUMOS!$J$5:$J$67&lt;&gt;"OK")*(INSUMOS!$J$5:$J$67&lt;&gt;""),ROW(INSUMOS!$J$5:$J$67)),30),"")),"")</f>
        <v/>
      </c>
      <c r="D51" s="6">
        <f>IFERROR(INDEX(INSUMOS!I:I,IFERROR(SMALL(IF((INSUMOS!$J$5:$J$67&lt;&gt;"OK")*(INSUMOS!$J$5:$J$67&lt;&gt;""),ROW(INSUMOS!$J$5:$J$67)),30),"")),"")</f>
        <v/>
      </c>
      <c r="E51" s="6">
        <f>IFERROR(INDEX(INSUMOS!J:J,IFERROR(SMALL(IF((INSUMOS!$J$5:$J$67&lt;&gt;"OK")*(INSUMOS!$J$5:$J$67&lt;&gt;""),ROW(INSUMOS!$J$5:$J$67)),30),"")),"")</f>
        <v/>
      </c>
      <c r="F51" s="5">
        <f>IFERROR(INDEX(INSUMOS!M:M,IFERROR(SMALL(IF((INSUMOS!$J$5:$J$67&lt;&gt;"OK")*(INSUMOS!$J$5:$J$67&lt;&gt;""),ROW(INSUMOS!$J$5:$J$67)),30),"")),"")</f>
        <v/>
      </c>
    </row>
  </sheetData>
  <mergeCells count="13">
    <mergeCell ref="A10:F10"/>
    <mergeCell ref="A7:F7"/>
    <mergeCell ref="A1:F1"/>
    <mergeCell ref="A5:F5"/>
    <mergeCell ref="A9:F9"/>
    <mergeCell ref="A14:C14"/>
    <mergeCell ref="A17:C17"/>
    <mergeCell ref="A18:C18"/>
    <mergeCell ref="A6:F6"/>
    <mergeCell ref="A8:F8"/>
    <mergeCell ref="A4:F4"/>
    <mergeCell ref="A15:C15"/>
    <mergeCell ref="A16:C16"/>
  </mergeCells>
  <conditionalFormatting sqref="E22:E51">
    <cfRule type="cellIs" priority="2" operator="equal" dxfId="2">
      <formula>"SIN STOCK"</formula>
    </cfRule>
    <cfRule type="cellIs" priority="3" operator="equal" dxfId="1">
      <formula>"BAJO STOCK"</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N67"/>
  <sheetViews>
    <sheetView zoomScaleNormal="100" workbookViewId="0">
      <pane xSplit="2" ySplit="4" topLeftCell="C5" activePane="bottomRight" state="frozen"/>
      <selection pane="topRight" activeCell="C1" sqref="C1"/>
      <selection pane="bottomLeft" activeCell="A5" sqref="A5"/>
      <selection pane="bottomRight" activeCell="A2" sqref="A2:M2"/>
    </sheetView>
  </sheetViews>
  <sheetFormatPr baseColWidth="10" defaultColWidth="8.7109375" defaultRowHeight="15"/>
  <cols>
    <col width="8" customWidth="1" min="1" max="1"/>
    <col width="32" customWidth="1" min="2" max="2"/>
    <col width="15" customWidth="1" min="3" max="3"/>
    <col width="10" customWidth="1" min="4" max="6"/>
    <col width="11" customWidth="1" min="7" max="7"/>
    <col width="10" customWidth="1" min="8" max="9"/>
    <col width="13" customWidth="1" min="10" max="10"/>
    <col width="11" customWidth="1" min="11" max="11"/>
    <col width="12" customWidth="1" min="12" max="12"/>
    <col width="40" customWidth="1" min="13" max="13"/>
    <col width="11" customWidth="1" min="14" max="14"/>
  </cols>
  <sheetData>
    <row r="1" ht="27.75" customHeight="1">
      <c r="A1" s="14" t="inlineStr">
        <is>
          <t>📦 INSUMOS - Control de Stock</t>
        </is>
      </c>
    </row>
    <row r="2">
      <c r="A2" s="15" t="inlineStr">
        <is>
          <t>🟡 Amarillo = tú lo llenas   |   ⚪ Gris = se calcula solo   |   Llená stock inicial y Costo base (col. N). El Costo unitario sube solo cuando comprás más caro; si baja, se mantiene.</t>
        </is>
      </c>
    </row>
    <row r="4" ht="31.5" customHeight="1">
      <c r="A4" s="4" t="inlineStr">
        <is>
          <t>Código</t>
        </is>
      </c>
      <c r="B4" s="4" t="inlineStr">
        <is>
          <t>Nombre</t>
        </is>
      </c>
      <c r="C4" s="4" t="inlineStr">
        <is>
          <t>Categoría</t>
        </is>
      </c>
      <c r="D4" s="4" t="inlineStr">
        <is>
          <t>Unidad</t>
        </is>
      </c>
      <c r="E4" s="4" t="inlineStr">
        <is>
          <t>Stock
inicial</t>
        </is>
      </c>
      <c r="F4" s="4" t="inlineStr">
        <is>
          <t>Total
comprado</t>
        </is>
      </c>
      <c r="G4" s="4" t="inlineStr">
        <is>
          <t>Total
consumido</t>
        </is>
      </c>
      <c r="H4" s="4" t="inlineStr">
        <is>
          <t>Stock
actual</t>
        </is>
      </c>
      <c r="I4" s="4" t="inlineStr">
        <is>
          <t>Stock
mínimo</t>
        </is>
      </c>
      <c r="J4" s="4" t="inlineStr">
        <is>
          <t>Estado</t>
        </is>
      </c>
      <c r="K4" s="4" t="inlineStr">
        <is>
          <t>Costo
unitario</t>
        </is>
      </c>
      <c r="L4" s="4" t="inlineStr">
        <is>
          <t>Valor
en stock</t>
        </is>
      </c>
      <c r="M4" s="4" t="inlineStr">
        <is>
          <t>Notas</t>
        </is>
      </c>
      <c r="N4" s="4" t="inlineStr">
        <is>
          <t>Costo
base</t>
        </is>
      </c>
    </row>
    <row r="5">
      <c r="A5" s="6" t="inlineStr">
        <is>
          <t>I001</t>
        </is>
      </c>
      <c r="B5" s="5" t="inlineStr">
        <is>
          <t>Papel bond A6 105 gr</t>
        </is>
      </c>
      <c r="C5" s="6" t="inlineStr">
        <is>
          <t>Papel</t>
        </is>
      </c>
      <c r="D5" s="6" t="inlineStr">
        <is>
          <t>hoja</t>
        </is>
      </c>
      <c r="E5" s="7" t="n">
        <v>0</v>
      </c>
      <c r="F5" s="8">
        <f>IFERROR(SUMIFS(COMPRAS!C:C,COMPRAS!B:B,B5),0)</f>
        <v/>
      </c>
      <c r="G5" s="8">
        <f>IFERROR(SUMIFS(RECETAS!E:E,RECETAS!B:B,B5),0)</f>
        <v/>
      </c>
      <c r="H5" s="8">
        <f>E5+F5-G5-IFERROR(SUMIFS(PERDIDAS!C:C,PERDIDAS!B:B,B5),0)</f>
        <v/>
      </c>
      <c r="I5" s="7" t="n">
        <v>0</v>
      </c>
      <c r="J5" s="8">
        <f>IF(H5&lt;=0,"SIN STOCK",IF(H5&lt;=I5,"BAJO STOCK","OK"))</f>
        <v/>
      </c>
      <c r="K5" s="10">
        <f>MAX(N5+0,IFERROR(_xlfn.MAXIFS(COMPRAS!$F$5:$F$504,COMPRAS!$B$5:$B$504,B5),0))</f>
        <v/>
      </c>
      <c r="L5" s="10">
        <f>IFERROR(H5*K5,0)</f>
        <v/>
      </c>
      <c r="M5" s="5" t="inlineStr">
        <is>
          <t>Se compra por resma. Ingresá el stock en hojas.</t>
        </is>
      </c>
      <c r="N5" s="9" t="n"/>
    </row>
    <row r="6">
      <c r="A6" s="6" t="inlineStr">
        <is>
          <t>I002</t>
        </is>
      </c>
      <c r="B6" s="5" t="inlineStr">
        <is>
          <t>Papel bond A5 90 gr</t>
        </is>
      </c>
      <c r="C6" s="6" t="inlineStr">
        <is>
          <t>Papel</t>
        </is>
      </c>
      <c r="D6" s="6" t="inlineStr">
        <is>
          <t>hoja</t>
        </is>
      </c>
      <c r="E6" s="7" t="n">
        <v>0</v>
      </c>
      <c r="F6" s="8">
        <f>IFERROR(SUMIFS(COMPRAS!C:C,COMPRAS!B:B,B6),0)</f>
        <v/>
      </c>
      <c r="G6" s="8">
        <f>IFERROR(SUMIFS(RECETAS!E:E,RECETAS!B:B,B6),0)</f>
        <v/>
      </c>
      <c r="H6" s="8">
        <f>E6+F6-G6-IFERROR(SUMIFS(PERDIDAS!C:C,PERDIDAS!B:B,B6),0)</f>
        <v/>
      </c>
      <c r="I6" s="7" t="n">
        <v>0</v>
      </c>
      <c r="J6" s="8">
        <f>IF(H6&lt;=0,"SIN STOCK",IF(H6&lt;=I6,"BAJO STOCK","OK"))</f>
        <v/>
      </c>
      <c r="K6" s="10">
        <f>MAX(N6+0,IFERROR(_xlfn.MAXIFS(COMPRAS!$F$5:$F$504,COMPRAS!$B$5:$B$504,B6),0))</f>
        <v/>
      </c>
      <c r="L6" s="10">
        <f>IFERROR(H6*K6,0)</f>
        <v/>
      </c>
      <c r="M6" s="5" t="inlineStr">
        <is>
          <t>Se compra por resma. Ingresá el stock en hojas.</t>
        </is>
      </c>
      <c r="N6" s="9" t="n"/>
    </row>
    <row r="7">
      <c r="A7" s="6" t="inlineStr">
        <is>
          <t>I003</t>
        </is>
      </c>
      <c r="B7" s="5" t="inlineStr">
        <is>
          <t>Papel bond A5 105 gr</t>
        </is>
      </c>
      <c r="C7" s="6" t="inlineStr">
        <is>
          <t>Papel</t>
        </is>
      </c>
      <c r="D7" s="6" t="inlineStr">
        <is>
          <t>hoja</t>
        </is>
      </c>
      <c r="E7" s="7" t="n">
        <v>0</v>
      </c>
      <c r="F7" s="8">
        <f>IFERROR(SUMIFS(COMPRAS!C:C,COMPRAS!B:B,B7),0)</f>
        <v/>
      </c>
      <c r="G7" s="8">
        <f>IFERROR(SUMIFS(RECETAS!E:E,RECETAS!B:B,B7),0)</f>
        <v/>
      </c>
      <c r="H7" s="8">
        <f>E7+F7-G7-IFERROR(SUMIFS(PERDIDAS!C:C,PERDIDAS!B:B,B7),0)</f>
        <v/>
      </c>
      <c r="I7" s="7" t="n">
        <v>0</v>
      </c>
      <c r="J7" s="8">
        <f>IF(H7&lt;=0,"SIN STOCK",IF(H7&lt;=I7,"BAJO STOCK","OK"))</f>
        <v/>
      </c>
      <c r="K7" s="10">
        <f>MAX(N7+0,IFERROR(_xlfn.MAXIFS(COMPRAS!$F$5:$F$504,COMPRAS!$B$5:$B$504,B7),0))</f>
        <v/>
      </c>
      <c r="L7" s="10">
        <f>IFERROR(H7*K7,0)</f>
        <v/>
      </c>
      <c r="M7" s="5" t="inlineStr">
        <is>
          <t>Se compra por resma. Ingresá el stock en hojas.</t>
        </is>
      </c>
      <c r="N7" s="9" t="n"/>
    </row>
    <row r="8">
      <c r="A8" s="6" t="inlineStr">
        <is>
          <t>I004</t>
        </is>
      </c>
      <c r="B8" s="5" t="inlineStr">
        <is>
          <t>Papel bond B5 105 gr</t>
        </is>
      </c>
      <c r="C8" s="6" t="inlineStr">
        <is>
          <t>Papel</t>
        </is>
      </c>
      <c r="D8" s="6" t="inlineStr">
        <is>
          <t>hoja</t>
        </is>
      </c>
      <c r="E8" s="7" t="n">
        <v>0</v>
      </c>
      <c r="F8" s="8">
        <f>IFERROR(SUMIFS(COMPRAS!C:C,COMPRAS!B:B,B8),0)</f>
        <v/>
      </c>
      <c r="G8" s="8">
        <f>IFERROR(SUMIFS(RECETAS!E:E,RECETAS!B:B,B8),0)</f>
        <v/>
      </c>
      <c r="H8" s="8">
        <f>E8+F8-G8-IFERROR(SUMIFS(PERDIDAS!C:C,PERDIDAS!B:B,B8),0)</f>
        <v/>
      </c>
      <c r="I8" s="7" t="n">
        <v>0</v>
      </c>
      <c r="J8" s="8">
        <f>IF(H8&lt;=0,"SIN STOCK",IF(H8&lt;=I8,"BAJO STOCK","OK"))</f>
        <v/>
      </c>
      <c r="K8" s="10">
        <f>MAX(N8+0,IFERROR(_xlfn.MAXIFS(COMPRAS!$F$5:$F$504,COMPRAS!$B$5:$B$504,B8),0))</f>
        <v/>
      </c>
      <c r="L8" s="10">
        <f>IFERROR(H8*K8,0)</f>
        <v/>
      </c>
      <c r="M8" s="5" t="inlineStr">
        <is>
          <t>Se compra por resma. Ingresá el stock en hojas.</t>
        </is>
      </c>
      <c r="N8" s="9" t="n"/>
    </row>
    <row r="9">
      <c r="A9" s="6" t="inlineStr">
        <is>
          <t>I005</t>
        </is>
      </c>
      <c r="B9" s="5" t="inlineStr">
        <is>
          <t>Papel bond A4 105 gr</t>
        </is>
      </c>
      <c r="C9" s="6" t="inlineStr">
        <is>
          <t>Papel</t>
        </is>
      </c>
      <c r="D9" s="6" t="inlineStr">
        <is>
          <t>hoja</t>
        </is>
      </c>
      <c r="E9" s="7" t="n">
        <v>0</v>
      </c>
      <c r="F9" s="8">
        <f>IFERROR(SUMIFS(COMPRAS!C:C,COMPRAS!B:B,B9),0)</f>
        <v/>
      </c>
      <c r="G9" s="8">
        <f>IFERROR(SUMIFS(RECETAS!E:E,RECETAS!B:B,B9),0)</f>
        <v/>
      </c>
      <c r="H9" s="8">
        <f>E9+F9-G9-IFERROR(SUMIFS(PERDIDAS!C:C,PERDIDAS!B:B,B9),0)</f>
        <v/>
      </c>
      <c r="I9" s="7" t="n">
        <v>0</v>
      </c>
      <c r="J9" s="8">
        <f>IF(H9&lt;=0,"SIN STOCK",IF(H9&lt;=I9,"BAJO STOCK","OK"))</f>
        <v/>
      </c>
      <c r="K9" s="10">
        <f>MAX(N9+0,IFERROR(_xlfn.MAXIFS(COMPRAS!$F$5:$F$504,COMPRAS!$B$5:$B$504,B9),0))</f>
        <v/>
      </c>
      <c r="L9" s="10">
        <f>IFERROR(H9*K9,0)</f>
        <v/>
      </c>
      <c r="M9" s="5" t="inlineStr">
        <is>
          <t>Se compra por resma. Ingresá el stock en hojas.</t>
        </is>
      </c>
      <c r="N9" s="9" t="n"/>
    </row>
    <row r="10">
      <c r="A10" s="6" t="inlineStr">
        <is>
          <t>I006</t>
        </is>
      </c>
      <c r="B10" s="5" t="inlineStr">
        <is>
          <t>Papel bond Carta 105 gr</t>
        </is>
      </c>
      <c r="C10" s="6" t="inlineStr">
        <is>
          <t>Papel</t>
        </is>
      </c>
      <c r="D10" s="6" t="inlineStr">
        <is>
          <t>hoja</t>
        </is>
      </c>
      <c r="E10" s="7" t="n">
        <v>0</v>
      </c>
      <c r="F10" s="8">
        <f>IFERROR(SUMIFS(COMPRAS!C:C,COMPRAS!B:B,B10),0)</f>
        <v/>
      </c>
      <c r="G10" s="8">
        <f>IFERROR(SUMIFS(RECETAS!E:E,RECETAS!B:B,B10),0)</f>
        <v/>
      </c>
      <c r="H10" s="8">
        <f>E10+F10-G10-IFERROR(SUMIFS(PERDIDAS!C:C,PERDIDAS!B:B,B10),0)</f>
        <v/>
      </c>
      <c r="I10" s="7" t="n">
        <v>0</v>
      </c>
      <c r="J10" s="8">
        <f>IF(H10&lt;=0,"SIN STOCK",IF(H10&lt;=I10,"BAJO STOCK","OK"))</f>
        <v/>
      </c>
      <c r="K10" s="10">
        <f>MAX(N10+0,IFERROR(_xlfn.MAXIFS(COMPRAS!$F$5:$F$504,COMPRAS!$B$5:$B$504,B10),0))</f>
        <v/>
      </c>
      <c r="L10" s="10">
        <f>IFERROR(H10*K10,0)</f>
        <v/>
      </c>
      <c r="M10" s="5" t="inlineStr">
        <is>
          <t>Se compra por resma. Ingresá el stock en hojas.</t>
        </is>
      </c>
      <c r="N10" s="9" t="n"/>
    </row>
    <row r="11">
      <c r="A11" s="6" t="inlineStr">
        <is>
          <t>I007</t>
        </is>
      </c>
      <c r="B11" s="5" t="inlineStr">
        <is>
          <t>Papel foto adhesivo brillo</t>
        </is>
      </c>
      <c r="C11" s="6" t="inlineStr">
        <is>
          <t>Papel</t>
        </is>
      </c>
      <c r="D11" s="6" t="inlineStr">
        <is>
          <t>hoja</t>
        </is>
      </c>
      <c r="E11" s="7" t="n">
        <v>0</v>
      </c>
      <c r="F11" s="8">
        <f>IFERROR(SUMIFS(COMPRAS!C:C,COMPRAS!B:B,B11),0)</f>
        <v/>
      </c>
      <c r="G11" s="8">
        <f>IFERROR(SUMIFS(RECETAS!E:E,RECETAS!B:B,B11),0)</f>
        <v/>
      </c>
      <c r="H11" s="8">
        <f>E11+F11-G11-IFERROR(SUMIFS(PERDIDAS!C:C,PERDIDAS!B:B,B11),0)</f>
        <v/>
      </c>
      <c r="I11" s="7" t="n">
        <v>0</v>
      </c>
      <c r="J11" s="8">
        <f>IF(H11&lt;=0,"SIN STOCK",IF(H11&lt;=I11,"BAJO STOCK","OK"))</f>
        <v/>
      </c>
      <c r="K11" s="10">
        <f>MAX(N11+0,IFERROR(_xlfn.MAXIFS(COMPRAS!$F$5:$F$504,COMPRAS!$B$5:$B$504,B11),0))</f>
        <v/>
      </c>
      <c r="L11" s="10">
        <f>IFERROR(H11*K11,0)</f>
        <v/>
      </c>
      <c r="M11" s="5" t="inlineStr">
        <is>
          <t>Compra resma 50 / uso por hoja.</t>
        </is>
      </c>
      <c r="N11" s="9" t="n"/>
    </row>
    <row r="12">
      <c r="A12" s="6" t="inlineStr">
        <is>
          <t>I008</t>
        </is>
      </c>
      <c r="B12" s="5" t="inlineStr">
        <is>
          <t>Papel foto adhesivo matte</t>
        </is>
      </c>
      <c r="C12" s="6" t="inlineStr">
        <is>
          <t>Papel</t>
        </is>
      </c>
      <c r="D12" s="6" t="inlineStr">
        <is>
          <t>hoja</t>
        </is>
      </c>
      <c r="E12" s="7" t="n">
        <v>0</v>
      </c>
      <c r="F12" s="8">
        <f>IFERROR(SUMIFS(COMPRAS!C:C,COMPRAS!B:B,B12),0)</f>
        <v/>
      </c>
      <c r="G12" s="8">
        <f>IFERROR(SUMIFS(RECETAS!E:E,RECETAS!B:B,B12),0)</f>
        <v/>
      </c>
      <c r="H12" s="8">
        <f>E12+F12-G12-IFERROR(SUMIFS(PERDIDAS!C:C,PERDIDAS!B:B,B12),0)</f>
        <v/>
      </c>
      <c r="I12" s="7" t="n">
        <v>0</v>
      </c>
      <c r="J12" s="8">
        <f>IF(H12&lt;=0,"SIN STOCK",IF(H12&lt;=I12,"BAJO STOCK","OK"))</f>
        <v/>
      </c>
      <c r="K12" s="10">
        <f>MAX(N12+0,IFERROR(_xlfn.MAXIFS(COMPRAS!$F$5:$F$504,COMPRAS!$B$5:$B$504,B12),0))</f>
        <v/>
      </c>
      <c r="L12" s="10">
        <f>IFERROR(H12*K12,0)</f>
        <v/>
      </c>
      <c r="M12" s="5" t="inlineStr">
        <is>
          <t>Compra resma 50 / uso por hoja.</t>
        </is>
      </c>
      <c r="N12" s="9" t="n"/>
    </row>
    <row r="13">
      <c r="A13" s="6" t="inlineStr">
        <is>
          <t>I009</t>
        </is>
      </c>
      <c r="B13" s="5" t="inlineStr">
        <is>
          <t>Papel foto A4</t>
        </is>
      </c>
      <c r="C13" s="6" t="inlineStr">
        <is>
          <t>Papel</t>
        </is>
      </c>
      <c r="D13" s="6" t="inlineStr">
        <is>
          <t>hoja</t>
        </is>
      </c>
      <c r="E13" s="7" t="n">
        <v>0</v>
      </c>
      <c r="F13" s="8">
        <f>IFERROR(SUMIFS(COMPRAS!C:C,COMPRAS!B:B,B13),0)</f>
        <v/>
      </c>
      <c r="G13" s="8">
        <f>IFERROR(SUMIFS(RECETAS!E:E,RECETAS!B:B,B13),0)</f>
        <v/>
      </c>
      <c r="H13" s="8">
        <f>E13+F13-G13-IFERROR(SUMIFS(PERDIDAS!C:C,PERDIDAS!B:B,B13),0)</f>
        <v/>
      </c>
      <c r="I13" s="7" t="n">
        <v>0</v>
      </c>
      <c r="J13" s="8">
        <f>IF(H13&lt;=0,"SIN STOCK",IF(H13&lt;=I13,"BAJO STOCK","OK"))</f>
        <v/>
      </c>
      <c r="K13" s="10">
        <f>MAX(N13+0,IFERROR(_xlfn.MAXIFS(COMPRAS!$F$5:$F$504,COMPRAS!$B$5:$B$504,B13),0))</f>
        <v/>
      </c>
      <c r="L13" s="10">
        <f>IFERROR(H13*K13,0)</f>
        <v/>
      </c>
      <c r="M13" s="5" t="inlineStr">
        <is>
          <t>Compra resma 50 / uso por hoja.</t>
        </is>
      </c>
      <c r="N13" s="9" t="n"/>
    </row>
    <row r="14">
      <c r="A14" s="6" t="inlineStr">
        <is>
          <t>I010</t>
        </is>
      </c>
      <c r="B14" s="5" t="inlineStr">
        <is>
          <t>Papel adhesivo Lee</t>
        </is>
      </c>
      <c r="C14" s="6" t="inlineStr">
        <is>
          <t>Papel</t>
        </is>
      </c>
      <c r="D14" s="6" t="inlineStr">
        <is>
          <t>hoja</t>
        </is>
      </c>
      <c r="E14" s="7" t="n">
        <v>0</v>
      </c>
      <c r="F14" s="8">
        <f>IFERROR(SUMIFS(COMPRAS!C:C,COMPRAS!B:B,B14),0)</f>
        <v/>
      </c>
      <c r="G14" s="8">
        <f>IFERROR(SUMIFS(RECETAS!E:E,RECETAS!B:B,B14),0)</f>
        <v/>
      </c>
      <c r="H14" s="8">
        <f>E14+F14-G14-IFERROR(SUMIFS(PERDIDAS!C:C,PERDIDAS!B:B,B14),0)</f>
        <v/>
      </c>
      <c r="I14" s="7" t="n">
        <v>0</v>
      </c>
      <c r="J14" s="8">
        <f>IF(H14&lt;=0,"SIN STOCK",IF(H14&lt;=I14,"BAJO STOCK","OK"))</f>
        <v/>
      </c>
      <c r="K14" s="10">
        <f>MAX(N14+0,IFERROR(_xlfn.MAXIFS(COMPRAS!$F$5:$F$504,COMPRAS!$B$5:$B$504,B14),0))</f>
        <v/>
      </c>
      <c r="L14" s="10">
        <f>IFERROR(H14*K14,0)</f>
        <v/>
      </c>
      <c r="M14" s="5" t="inlineStr">
        <is>
          <t>Compra resma 50 / uso por hoja.</t>
        </is>
      </c>
      <c r="N14" s="9" t="n"/>
    </row>
    <row r="15">
      <c r="A15" s="6" t="inlineStr">
        <is>
          <t>I011</t>
        </is>
      </c>
      <c r="B15" s="5" t="inlineStr">
        <is>
          <t>Papel vinilo waterproof</t>
        </is>
      </c>
      <c r="C15" s="6" t="inlineStr">
        <is>
          <t>Papel</t>
        </is>
      </c>
      <c r="D15" s="6" t="inlineStr">
        <is>
          <t>hoja</t>
        </is>
      </c>
      <c r="E15" s="7" t="n">
        <v>0</v>
      </c>
      <c r="F15" s="8">
        <f>IFERROR(SUMIFS(COMPRAS!C:C,COMPRAS!B:B,B15),0)</f>
        <v/>
      </c>
      <c r="G15" s="8">
        <f>IFERROR(SUMIFS(RECETAS!E:E,RECETAS!B:B,B15),0)</f>
        <v/>
      </c>
      <c r="H15" s="8">
        <f>E15+F15-G15-IFERROR(SUMIFS(PERDIDAS!C:C,PERDIDAS!B:B,B15),0)</f>
        <v/>
      </c>
      <c r="I15" s="7" t="n">
        <v>0</v>
      </c>
      <c r="J15" s="8">
        <f>IF(H15&lt;=0,"SIN STOCK",IF(H15&lt;=I15,"BAJO STOCK","OK"))</f>
        <v/>
      </c>
      <c r="K15" s="10">
        <f>MAX(N15+0,IFERROR(_xlfn.MAXIFS(COMPRAS!$F$5:$F$504,COMPRAS!$B$5:$B$504,B15),0))</f>
        <v/>
      </c>
      <c r="L15" s="10">
        <f>IFERROR(H15*K15,0)</f>
        <v/>
      </c>
      <c r="M15" s="5" t="inlineStr">
        <is>
          <t>Compra resma 50 / uso por hoja.</t>
        </is>
      </c>
      <c r="N15" s="9" t="n"/>
    </row>
    <row r="16">
      <c r="A16" s="6" t="inlineStr">
        <is>
          <t>I012</t>
        </is>
      </c>
      <c r="B16" s="5" t="inlineStr">
        <is>
          <t>Papel vinilo tornasol</t>
        </is>
      </c>
      <c r="C16" s="6" t="inlineStr">
        <is>
          <t>Papel</t>
        </is>
      </c>
      <c r="D16" s="6" t="inlineStr">
        <is>
          <t>hoja</t>
        </is>
      </c>
      <c r="E16" s="7" t="n">
        <v>0</v>
      </c>
      <c r="F16" s="8">
        <f>IFERROR(SUMIFS(COMPRAS!C:C,COMPRAS!B:B,B16),0)</f>
        <v/>
      </c>
      <c r="G16" s="8">
        <f>IFERROR(SUMIFS(RECETAS!E:E,RECETAS!B:B,B16),0)</f>
        <v/>
      </c>
      <c r="H16" s="8">
        <f>E16+F16-G16-IFERROR(SUMIFS(PERDIDAS!C:C,PERDIDAS!B:B,B16),0)</f>
        <v/>
      </c>
      <c r="I16" s="7" t="n">
        <v>0</v>
      </c>
      <c r="J16" s="8">
        <f>IF(H16&lt;=0,"SIN STOCK",IF(H16&lt;=I16,"BAJO STOCK","OK"))</f>
        <v/>
      </c>
      <c r="K16" s="10">
        <f>MAX(N16+0,IFERROR(_xlfn.MAXIFS(COMPRAS!$F$5:$F$504,COMPRAS!$B$5:$B$504,B16),0))</f>
        <v/>
      </c>
      <c r="L16" s="10">
        <f>IFERROR(H16*K16,0)</f>
        <v/>
      </c>
      <c r="M16" s="5" t="inlineStr">
        <is>
          <t>Compra resma 50 / uso por hoja.</t>
        </is>
      </c>
      <c r="N16" s="9" t="n"/>
    </row>
    <row r="17">
      <c r="A17" s="6" t="inlineStr">
        <is>
          <t>I013</t>
        </is>
      </c>
      <c r="B17" s="5" t="inlineStr">
        <is>
          <t>Papel transparente</t>
        </is>
      </c>
      <c r="C17" s="6" t="inlineStr">
        <is>
          <t>Papel</t>
        </is>
      </c>
      <c r="D17" s="6" t="inlineStr">
        <is>
          <t>hoja</t>
        </is>
      </c>
      <c r="E17" s="7" t="n">
        <v>0</v>
      </c>
      <c r="F17" s="8">
        <f>IFERROR(SUMIFS(COMPRAS!C:C,COMPRAS!B:B,B17),0)</f>
        <v/>
      </c>
      <c r="G17" s="8">
        <f>IFERROR(SUMIFS(RECETAS!E:E,RECETAS!B:B,B17),0)</f>
        <v/>
      </c>
      <c r="H17" s="8">
        <f>E17+F17-G17-IFERROR(SUMIFS(PERDIDAS!C:C,PERDIDAS!B:B,B17),0)</f>
        <v/>
      </c>
      <c r="I17" s="7" t="n">
        <v>0</v>
      </c>
      <c r="J17" s="8">
        <f>IF(H17&lt;=0,"SIN STOCK",IF(H17&lt;=I17,"BAJO STOCK","OK"))</f>
        <v/>
      </c>
      <c r="K17" s="10">
        <f>MAX(N17+0,IFERROR(_xlfn.MAXIFS(COMPRAS!$F$5:$F$504,COMPRAS!$B$5:$B$504,B17),0))</f>
        <v/>
      </c>
      <c r="L17" s="10">
        <f>IFERROR(H17*K17,0)</f>
        <v/>
      </c>
      <c r="M17" s="5" t="inlineStr">
        <is>
          <t>Compra resma 50 / uso por hoja.</t>
        </is>
      </c>
      <c r="N17" s="9" t="n"/>
    </row>
    <row r="18">
      <c r="A18" s="6" t="inlineStr">
        <is>
          <t>I014</t>
        </is>
      </c>
      <c r="B18" s="5" t="inlineStr">
        <is>
          <t>Hoja tatuaje</t>
        </is>
      </c>
      <c r="C18" s="6" t="inlineStr">
        <is>
          <t>Papel</t>
        </is>
      </c>
      <c r="D18" s="6" t="inlineStr">
        <is>
          <t>hoja</t>
        </is>
      </c>
      <c r="E18" s="7" t="n">
        <v>0</v>
      </c>
      <c r="F18" s="8">
        <f>IFERROR(SUMIFS(COMPRAS!C:C,COMPRAS!B:B,B18),0)</f>
        <v/>
      </c>
      <c r="G18" s="8">
        <f>IFERROR(SUMIFS(RECETAS!E:E,RECETAS!B:B,B18),0)</f>
        <v/>
      </c>
      <c r="H18" s="8">
        <f>E18+F18-G18-IFERROR(SUMIFS(PERDIDAS!C:C,PERDIDAS!B:B,B18),0)</f>
        <v/>
      </c>
      <c r="I18" s="7" t="n">
        <v>0</v>
      </c>
      <c r="J18" s="8">
        <f>IF(H18&lt;=0,"SIN STOCK",IF(H18&lt;=I18,"BAJO STOCK","OK"))</f>
        <v/>
      </c>
      <c r="K18" s="10">
        <f>MAX(N18+0,IFERROR(_xlfn.MAXIFS(COMPRAS!$F$5:$F$504,COMPRAS!$B$5:$B$504,B18),0))</f>
        <v/>
      </c>
      <c r="L18" s="10">
        <f>IFERROR(H18*K18,0)</f>
        <v/>
      </c>
      <c r="M18" s="5" t="inlineStr">
        <is>
          <t>Compra pack 5 / uso por hoja.</t>
        </is>
      </c>
      <c r="N18" s="9" t="n"/>
    </row>
    <row r="19">
      <c r="A19" s="6" t="inlineStr">
        <is>
          <t>I015</t>
        </is>
      </c>
      <c r="B19" s="5" t="inlineStr">
        <is>
          <t>Opalina A4</t>
        </is>
      </c>
      <c r="C19" s="6" t="inlineStr">
        <is>
          <t>Papel</t>
        </is>
      </c>
      <c r="D19" s="6" t="inlineStr">
        <is>
          <t>hoja</t>
        </is>
      </c>
      <c r="E19" s="7" t="n">
        <v>0</v>
      </c>
      <c r="F19" s="8">
        <f>IFERROR(SUMIFS(COMPRAS!C:C,COMPRAS!B:B,B19),0)</f>
        <v/>
      </c>
      <c r="G19" s="8">
        <f>IFERROR(SUMIFS(RECETAS!E:E,RECETAS!B:B,B19),0)</f>
        <v/>
      </c>
      <c r="H19" s="8">
        <f>E19+F19-G19-IFERROR(SUMIFS(PERDIDAS!C:C,PERDIDAS!B:B,B19),0)</f>
        <v/>
      </c>
      <c r="I19" s="7" t="n">
        <v>0</v>
      </c>
      <c r="J19" s="8">
        <f>IF(H19&lt;=0,"SIN STOCK",IF(H19&lt;=I19,"BAJO STOCK","OK"))</f>
        <v/>
      </c>
      <c r="K19" s="10">
        <f>MAX(N19+0,IFERROR(_xlfn.MAXIFS(COMPRAS!$F$5:$F$504,COMPRAS!$B$5:$B$504,B19),0))</f>
        <v/>
      </c>
      <c r="L19" s="10">
        <f>IFERROR(H19*K19,0)</f>
        <v/>
      </c>
      <c r="M19" s="5" t="inlineStr">
        <is>
          <t>Compra resma 50 / uso por hoja.</t>
        </is>
      </c>
      <c r="N19" s="9" t="n"/>
    </row>
    <row r="20">
      <c r="A20" s="6" t="inlineStr">
        <is>
          <t>I016</t>
        </is>
      </c>
      <c r="B20" s="5" t="inlineStr">
        <is>
          <t>Opalina A4 negra 220 gr</t>
        </is>
      </c>
      <c r="C20" s="6" t="inlineStr">
        <is>
          <t>Papel</t>
        </is>
      </c>
      <c r="D20" s="6" t="inlineStr">
        <is>
          <t>hoja</t>
        </is>
      </c>
      <c r="E20" s="7" t="n">
        <v>0</v>
      </c>
      <c r="F20" s="8">
        <f>IFERROR(SUMIFS(COMPRAS!C:C,COMPRAS!B:B,B20),0)</f>
        <v/>
      </c>
      <c r="G20" s="8">
        <f>IFERROR(SUMIFS(RECETAS!E:E,RECETAS!B:B,B20),0)</f>
        <v/>
      </c>
      <c r="H20" s="8">
        <f>E20+F20-G20-IFERROR(SUMIFS(PERDIDAS!C:C,PERDIDAS!B:B,B20),0)</f>
        <v/>
      </c>
      <c r="I20" s="7" t="n">
        <v>0</v>
      </c>
      <c r="J20" s="8">
        <f>IF(H20&lt;=0,"SIN STOCK",IF(H20&lt;=I20,"BAJO STOCK","OK"))</f>
        <v/>
      </c>
      <c r="K20" s="10">
        <f>MAX(N20+0,IFERROR(_xlfn.MAXIFS(COMPRAS!$F$5:$F$504,COMPRAS!$B$5:$B$504,B20),0))</f>
        <v/>
      </c>
      <c r="L20" s="10">
        <f>IFERROR(H20*K20,0)</f>
        <v/>
      </c>
      <c r="M20" s="5" t="inlineStr">
        <is>
          <t>Compra resma 50 / uso por hoja.</t>
        </is>
      </c>
      <c r="N20" s="9" t="n"/>
    </row>
    <row r="21">
      <c r="A21" s="6" t="inlineStr">
        <is>
          <t>I017</t>
        </is>
      </c>
      <c r="B21" s="5" t="inlineStr">
        <is>
          <t>Opalina A4 blanco 140 gr</t>
        </is>
      </c>
      <c r="C21" s="6" t="inlineStr">
        <is>
          <t>Papel</t>
        </is>
      </c>
      <c r="D21" s="6" t="inlineStr">
        <is>
          <t>hoja</t>
        </is>
      </c>
      <c r="E21" s="7" t="n">
        <v>0</v>
      </c>
      <c r="F21" s="8">
        <f>IFERROR(SUMIFS(COMPRAS!C:C,COMPRAS!B:B,B21),0)</f>
        <v/>
      </c>
      <c r="G21" s="8">
        <f>IFERROR(SUMIFS(RECETAS!E:E,RECETAS!B:B,B21),0)</f>
        <v/>
      </c>
      <c r="H21" s="8">
        <f>E21+F21-G21-IFERROR(SUMIFS(PERDIDAS!C:C,PERDIDAS!B:B,B21),0)</f>
        <v/>
      </c>
      <c r="I21" s="7" t="n">
        <v>0</v>
      </c>
      <c r="J21" s="8">
        <f>IF(H21&lt;=0,"SIN STOCK",IF(H21&lt;=I21,"BAJO STOCK","OK"))</f>
        <v/>
      </c>
      <c r="K21" s="10">
        <f>MAX(N21+0,IFERROR(_xlfn.MAXIFS(COMPRAS!$F$5:$F$504,COMPRAS!$B$5:$B$504,B21),0))</f>
        <v/>
      </c>
      <c r="L21" s="10">
        <f>IFERROR(H21*K21,0)</f>
        <v/>
      </c>
      <c r="M21" s="5" t="inlineStr">
        <is>
          <t>Compra resma 50 / uso por hoja.</t>
        </is>
      </c>
      <c r="N21" s="9" t="n"/>
    </row>
    <row r="22">
      <c r="A22" s="6" t="inlineStr">
        <is>
          <t>I018</t>
        </is>
      </c>
      <c r="B22" s="5" t="inlineStr">
        <is>
          <t>Papel couché</t>
        </is>
      </c>
      <c r="C22" s="6" t="inlineStr">
        <is>
          <t>Papel</t>
        </is>
      </c>
      <c r="D22" s="6" t="inlineStr">
        <is>
          <t>hoja</t>
        </is>
      </c>
      <c r="E22" s="7" t="n">
        <v>0</v>
      </c>
      <c r="F22" s="8">
        <f>IFERROR(SUMIFS(COMPRAS!C:C,COMPRAS!B:B,B22),0)</f>
        <v/>
      </c>
      <c r="G22" s="8">
        <f>IFERROR(SUMIFS(RECETAS!E:E,RECETAS!B:B,B22),0)</f>
        <v/>
      </c>
      <c r="H22" s="8">
        <f>E22+F22-G22-IFERROR(SUMIFS(PERDIDAS!C:C,PERDIDAS!B:B,B22),0)</f>
        <v/>
      </c>
      <c r="I22" s="7" t="n">
        <v>0</v>
      </c>
      <c r="J22" s="8">
        <f>IF(H22&lt;=0,"SIN STOCK",IF(H22&lt;=I22,"BAJO STOCK","OK"))</f>
        <v/>
      </c>
      <c r="K22" s="10">
        <f>MAX(N22+0,IFERROR(_xlfn.MAXIFS(COMPRAS!$F$5:$F$504,COMPRAS!$B$5:$B$504,B22),0))</f>
        <v/>
      </c>
      <c r="L22" s="10">
        <f>IFERROR(H22*K22,0)</f>
        <v/>
      </c>
      <c r="M22" s="5" t="inlineStr">
        <is>
          <t>Compra resma 50 / uso por hoja.</t>
        </is>
      </c>
      <c r="N22" s="9" t="n"/>
    </row>
    <row r="23">
      <c r="A23" s="6" t="inlineStr">
        <is>
          <t>I019</t>
        </is>
      </c>
      <c r="B23" s="5" t="inlineStr">
        <is>
          <t>Hojas carta 75 gr</t>
        </is>
      </c>
      <c r="C23" s="6" t="inlineStr">
        <is>
          <t>Papel</t>
        </is>
      </c>
      <c r="D23" s="6" t="inlineStr">
        <is>
          <t>hoja</t>
        </is>
      </c>
      <c r="E23" s="7" t="n">
        <v>0</v>
      </c>
      <c r="F23" s="8">
        <f>IFERROR(SUMIFS(COMPRAS!C:C,COMPRAS!B:B,B23),0)</f>
        <v/>
      </c>
      <c r="G23" s="8">
        <f>IFERROR(SUMIFS(RECETAS!E:E,RECETAS!B:B,B23),0)</f>
        <v/>
      </c>
      <c r="H23" s="8">
        <f>E23+F23-G23-IFERROR(SUMIFS(PERDIDAS!C:C,PERDIDAS!B:B,B23),0)</f>
        <v/>
      </c>
      <c r="I23" s="7" t="n">
        <v>0</v>
      </c>
      <c r="J23" s="8">
        <f>IF(H23&lt;=0,"SIN STOCK",IF(H23&lt;=I23,"BAJO STOCK","OK"))</f>
        <v/>
      </c>
      <c r="K23" s="10">
        <f>MAX(N23+0,IFERROR(_xlfn.MAXIFS(COMPRAS!$F$5:$F$504,COMPRAS!$B$5:$B$504,B23),0))</f>
        <v/>
      </c>
      <c r="L23" s="10">
        <f>IFERROR(H23*K23,0)</f>
        <v/>
      </c>
      <c r="M23" s="5" t="n"/>
      <c r="N23" s="9" t="n"/>
    </row>
    <row r="24">
      <c r="A24" s="6" t="inlineStr">
        <is>
          <t>I020</t>
        </is>
      </c>
      <c r="B24" s="5" t="inlineStr">
        <is>
          <t>Autocopiativo</t>
        </is>
      </c>
      <c r="C24" s="6" t="inlineStr">
        <is>
          <t>Papel</t>
        </is>
      </c>
      <c r="D24" s="6" t="inlineStr">
        <is>
          <t>hoja</t>
        </is>
      </c>
      <c r="E24" s="7" t="n">
        <v>0</v>
      </c>
      <c r="F24" s="8">
        <f>IFERROR(SUMIFS(COMPRAS!C:C,COMPRAS!B:B,B24),0)</f>
        <v/>
      </c>
      <c r="G24" s="8">
        <f>IFERROR(SUMIFS(RECETAS!E:E,RECETAS!B:B,B24),0)</f>
        <v/>
      </c>
      <c r="H24" s="8">
        <f>E24+F24-G24-IFERROR(SUMIFS(PERDIDAS!C:C,PERDIDAS!B:B,B24),0)</f>
        <v/>
      </c>
      <c r="I24" s="7" t="n">
        <v>0</v>
      </c>
      <c r="J24" s="8">
        <f>IF(H24&lt;=0,"SIN STOCK",IF(H24&lt;=I24,"BAJO STOCK","OK"))</f>
        <v/>
      </c>
      <c r="K24" s="10">
        <f>MAX(N24+0,IFERROR(_xlfn.MAXIFS(COMPRAS!$F$5:$F$504,COMPRAS!$B$5:$B$504,B24),0))</f>
        <v/>
      </c>
      <c r="L24" s="10">
        <f>IFERROR(H24*K24,0)</f>
        <v/>
      </c>
      <c r="M24" s="5" t="n"/>
      <c r="N24" s="9" t="n"/>
    </row>
    <row r="25">
      <c r="A25" s="6" t="inlineStr">
        <is>
          <t>I021</t>
        </is>
      </c>
      <c r="B25" s="5" t="inlineStr">
        <is>
          <t>Cartón piedra A6</t>
        </is>
      </c>
      <c r="C25" s="6" t="inlineStr">
        <is>
          <t>Cartón</t>
        </is>
      </c>
      <c r="D25" s="6" t="inlineStr">
        <is>
          <t>unidad</t>
        </is>
      </c>
      <c r="E25" s="7" t="n">
        <v>0</v>
      </c>
      <c r="F25" s="8">
        <f>IFERROR(SUMIFS(COMPRAS!C:C,COMPRAS!B:B,B25),0)</f>
        <v/>
      </c>
      <c r="G25" s="8">
        <f>IFERROR(SUMIFS(RECETAS!E:E,RECETAS!B:B,B25),0)</f>
        <v/>
      </c>
      <c r="H25" s="8">
        <f>E25+F25-G25-IFERROR(SUMIFS(PERDIDAS!C:C,PERDIDAS!B:B,B25),0)</f>
        <v/>
      </c>
      <c r="I25" s="7" t="n">
        <v>0</v>
      </c>
      <c r="J25" s="8">
        <f>IF(H25&lt;=0,"SIN STOCK",IF(H25&lt;=I25,"BAJO STOCK","OK"))</f>
        <v/>
      </c>
      <c r="K25" s="10">
        <f>MAX(N25+0,IFERROR(_xlfn.MAXIFS(COMPRAS!$F$5:$F$504,COMPRAS!$B$5:$B$504,B25),0))</f>
        <v/>
      </c>
      <c r="L25" s="10">
        <f>IFERROR(H25*K25,0)</f>
        <v/>
      </c>
      <c r="M25" s="5" t="n"/>
      <c r="N25" s="9" t="n"/>
    </row>
    <row r="26">
      <c r="A26" s="6" t="inlineStr">
        <is>
          <t>I022</t>
        </is>
      </c>
      <c r="B26" s="5" t="inlineStr">
        <is>
          <t>Cartón piedra A5</t>
        </is>
      </c>
      <c r="C26" s="6" t="inlineStr">
        <is>
          <t>Cartón</t>
        </is>
      </c>
      <c r="D26" s="6" t="inlineStr">
        <is>
          <t>unidad</t>
        </is>
      </c>
      <c r="E26" s="7" t="n">
        <v>0</v>
      </c>
      <c r="F26" s="8">
        <f>IFERROR(SUMIFS(COMPRAS!C:C,COMPRAS!B:B,B26),0)</f>
        <v/>
      </c>
      <c r="G26" s="8">
        <f>IFERROR(SUMIFS(RECETAS!E:E,RECETAS!B:B,B26),0)</f>
        <v/>
      </c>
      <c r="H26" s="8">
        <f>E26+F26-G26-IFERROR(SUMIFS(PERDIDAS!C:C,PERDIDAS!B:B,B26),0)</f>
        <v/>
      </c>
      <c r="I26" s="7" t="n">
        <v>0</v>
      </c>
      <c r="J26" s="8">
        <f>IF(H26&lt;=0,"SIN STOCK",IF(H26&lt;=I26,"BAJO STOCK","OK"))</f>
        <v/>
      </c>
      <c r="K26" s="10">
        <f>MAX(N26+0,IFERROR(_xlfn.MAXIFS(COMPRAS!$F$5:$F$504,COMPRAS!$B$5:$B$504,B26),0))</f>
        <v/>
      </c>
      <c r="L26" s="10">
        <f>IFERROR(H26*K26,0)</f>
        <v/>
      </c>
      <c r="M26" s="5" t="n"/>
      <c r="N26" s="9" t="n"/>
    </row>
    <row r="27">
      <c r="A27" s="6" t="inlineStr">
        <is>
          <t>I023</t>
        </is>
      </c>
      <c r="B27" s="5" t="inlineStr">
        <is>
          <t>Cartón piedra B5</t>
        </is>
      </c>
      <c r="C27" s="6" t="inlineStr">
        <is>
          <t>Cartón</t>
        </is>
      </c>
      <c r="D27" s="6" t="inlineStr">
        <is>
          <t>unidad</t>
        </is>
      </c>
      <c r="E27" s="7" t="n">
        <v>0</v>
      </c>
      <c r="F27" s="8">
        <f>IFERROR(SUMIFS(COMPRAS!C:C,COMPRAS!B:B,B27),0)</f>
        <v/>
      </c>
      <c r="G27" s="8">
        <f>IFERROR(SUMIFS(RECETAS!E:E,RECETAS!B:B,B27),0)</f>
        <v/>
      </c>
      <c r="H27" s="8">
        <f>E27+F27-G27-IFERROR(SUMIFS(PERDIDAS!C:C,PERDIDAS!B:B,B27),0)</f>
        <v/>
      </c>
      <c r="I27" s="7" t="n">
        <v>0</v>
      </c>
      <c r="J27" s="8">
        <f>IF(H27&lt;=0,"SIN STOCK",IF(H27&lt;=I27,"BAJO STOCK","OK"))</f>
        <v/>
      </c>
      <c r="K27" s="10">
        <f>MAX(N27+0,IFERROR(_xlfn.MAXIFS(COMPRAS!$F$5:$F$504,COMPRAS!$B$5:$B$504,B27),0))</f>
        <v/>
      </c>
      <c r="L27" s="10">
        <f>IFERROR(H27*K27,0)</f>
        <v/>
      </c>
      <c r="M27" s="5" t="n"/>
      <c r="N27" s="9" t="n"/>
    </row>
    <row r="28">
      <c r="A28" s="6" t="inlineStr">
        <is>
          <t>I024</t>
        </is>
      </c>
      <c r="B28" s="5" t="inlineStr">
        <is>
          <t>Cartón piedra A4</t>
        </is>
      </c>
      <c r="C28" s="6" t="inlineStr">
        <is>
          <t>Cartón</t>
        </is>
      </c>
      <c r="D28" s="6" t="inlineStr">
        <is>
          <t>unidad</t>
        </is>
      </c>
      <c r="E28" s="7" t="n">
        <v>0</v>
      </c>
      <c r="F28" s="8">
        <f>IFERROR(SUMIFS(COMPRAS!C:C,COMPRAS!B:B,B28),0)</f>
        <v/>
      </c>
      <c r="G28" s="8">
        <f>IFERROR(SUMIFS(RECETAS!E:E,RECETAS!B:B,B28),0)</f>
        <v/>
      </c>
      <c r="H28" s="8">
        <f>E28+F28-G28-IFERROR(SUMIFS(PERDIDAS!C:C,PERDIDAS!B:B,B28),0)</f>
        <v/>
      </c>
      <c r="I28" s="7" t="n">
        <v>0</v>
      </c>
      <c r="J28" s="8">
        <f>IF(H28&lt;=0,"SIN STOCK",IF(H28&lt;=I28,"BAJO STOCK","OK"))</f>
        <v/>
      </c>
      <c r="K28" s="10">
        <f>MAX(N28+0,IFERROR(_xlfn.MAXIFS(COMPRAS!$F$5:$F$504,COMPRAS!$B$5:$B$504,B28),0))</f>
        <v/>
      </c>
      <c r="L28" s="10">
        <f>IFERROR(H28*K28,0)</f>
        <v/>
      </c>
      <c r="M28" s="5" t="n"/>
      <c r="N28" s="9" t="n"/>
    </row>
    <row r="29" ht="25.5" customHeight="1">
      <c r="A29" s="6" t="inlineStr">
        <is>
          <t>I025</t>
        </is>
      </c>
      <c r="B29" s="5" t="inlineStr">
        <is>
          <t>Laminado en frío A4 brillo</t>
        </is>
      </c>
      <c r="C29" s="6" t="inlineStr">
        <is>
          <t>Laminado</t>
        </is>
      </c>
      <c r="D29" s="6" t="inlineStr">
        <is>
          <t>hoja A4</t>
        </is>
      </c>
      <c r="E29" s="7" t="n">
        <v>0</v>
      </c>
      <c r="F29" s="8">
        <f>IFERROR(SUMIFS(COMPRAS!C:C,COMPRAS!B:B,B29),0)</f>
        <v/>
      </c>
      <c r="G29" s="8">
        <f>IFERROR(SUMIFS(RECETAS!E:E,RECETAS!B:B,B29),0)</f>
        <v/>
      </c>
      <c r="H29" s="8">
        <f>E29+F29-G29-IFERROR(SUMIFS(PERDIDAS!C:C,PERDIDAS!B:B,B29),0)</f>
        <v/>
      </c>
      <c r="I29" s="7" t="n">
        <v>0</v>
      </c>
      <c r="J29" s="8">
        <f>IF(H29&lt;=0,"SIN STOCK",IF(H29&lt;=I29,"BAJO STOCK","OK"))</f>
        <v/>
      </c>
      <c r="K29" s="10">
        <f>MAX(N29+0,IFERROR(_xlfn.MAXIFS(COMPRAS!$F$5:$F$504,COMPRAS!$B$5:$B$504,B29),0))</f>
        <v/>
      </c>
      <c r="L29" s="10">
        <f>IFERROR(H29*K29,0)</f>
        <v/>
      </c>
      <c r="M29" s="5" t="inlineStr">
        <is>
          <t>Compra en rollo. Convertí el rollo a hojas A4 equivalentes.</t>
        </is>
      </c>
      <c r="N29" s="9" t="n"/>
    </row>
    <row r="30" ht="25.5" customHeight="1">
      <c r="A30" s="6" t="inlineStr">
        <is>
          <t>I026</t>
        </is>
      </c>
      <c r="B30" s="5" t="inlineStr">
        <is>
          <t>Laminado en frío A4 matte</t>
        </is>
      </c>
      <c r="C30" s="6" t="inlineStr">
        <is>
          <t>Laminado</t>
        </is>
      </c>
      <c r="D30" s="6" t="inlineStr">
        <is>
          <t>hoja A4</t>
        </is>
      </c>
      <c r="E30" s="7" t="n">
        <v>0</v>
      </c>
      <c r="F30" s="8">
        <f>IFERROR(SUMIFS(COMPRAS!C:C,COMPRAS!B:B,B30),0)</f>
        <v/>
      </c>
      <c r="G30" s="8">
        <f>IFERROR(SUMIFS(RECETAS!E:E,RECETAS!B:B,B30),0)</f>
        <v/>
      </c>
      <c r="H30" s="8">
        <f>E30+F30-G30-IFERROR(SUMIFS(PERDIDAS!C:C,PERDIDAS!B:B,B30),0)</f>
        <v/>
      </c>
      <c r="I30" s="7" t="n">
        <v>0</v>
      </c>
      <c r="J30" s="8">
        <f>IF(H30&lt;=0,"SIN STOCK",IF(H30&lt;=I30,"BAJO STOCK","OK"))</f>
        <v/>
      </c>
      <c r="K30" s="10">
        <f>MAX(N30+0,IFERROR(_xlfn.MAXIFS(COMPRAS!$F$5:$F$504,COMPRAS!$B$5:$B$504,B30),0))</f>
        <v/>
      </c>
      <c r="L30" s="10">
        <f>IFERROR(H30*K30,0)</f>
        <v/>
      </c>
      <c r="M30" s="5" t="inlineStr">
        <is>
          <t>Compra en rollo. Convertí el rollo a hojas A4 equivalentes.</t>
        </is>
      </c>
      <c r="N30" s="9" t="n"/>
    </row>
    <row r="31">
      <c r="A31" s="6" t="inlineStr">
        <is>
          <t>I027</t>
        </is>
      </c>
      <c r="B31" s="5" t="inlineStr">
        <is>
          <t>Mica termolaminado A4</t>
        </is>
      </c>
      <c r="C31" s="6" t="inlineStr">
        <is>
          <t>Laminado</t>
        </is>
      </c>
      <c r="D31" s="6" t="inlineStr">
        <is>
          <t>unidad</t>
        </is>
      </c>
      <c r="E31" s="7" t="n">
        <v>0</v>
      </c>
      <c r="F31" s="8">
        <f>IFERROR(SUMIFS(COMPRAS!C:C,COMPRAS!B:B,B31),0)</f>
        <v/>
      </c>
      <c r="G31" s="8">
        <f>IFERROR(SUMIFS(RECETAS!E:E,RECETAS!B:B,B31),0)</f>
        <v/>
      </c>
      <c r="H31" s="8">
        <f>E31+F31-G31-IFERROR(SUMIFS(PERDIDAS!C:C,PERDIDAS!B:B,B31),0)</f>
        <v/>
      </c>
      <c r="I31" s="7" t="n">
        <v>0</v>
      </c>
      <c r="J31" s="8">
        <f>IF(H31&lt;=0,"SIN STOCK",IF(H31&lt;=I31,"BAJO STOCK","OK"))</f>
        <v/>
      </c>
      <c r="K31" s="10">
        <f>MAX(N31+0,IFERROR(_xlfn.MAXIFS(COMPRAS!$F$5:$F$504,COMPRAS!$B$5:$B$504,B31),0))</f>
        <v/>
      </c>
      <c r="L31" s="10">
        <f>IFERROR(H31*K31,0)</f>
        <v/>
      </c>
      <c r="M31" s="5" t="inlineStr">
        <is>
          <t>Compra resma 50 / uso por unidad.</t>
        </is>
      </c>
      <c r="N31" s="9" t="n"/>
    </row>
    <row r="32">
      <c r="A32" s="6" t="inlineStr">
        <is>
          <t>I028</t>
        </is>
      </c>
      <c r="B32" s="5" t="inlineStr">
        <is>
          <t>Mica termolaminado Carta</t>
        </is>
      </c>
      <c r="C32" s="6" t="inlineStr">
        <is>
          <t>Laminado</t>
        </is>
      </c>
      <c r="D32" s="6" t="inlineStr">
        <is>
          <t>unidad</t>
        </is>
      </c>
      <c r="E32" s="7" t="n">
        <v>0</v>
      </c>
      <c r="F32" s="8">
        <f>IFERROR(SUMIFS(COMPRAS!C:C,COMPRAS!B:B,B32),0)</f>
        <v/>
      </c>
      <c r="G32" s="8">
        <f>IFERROR(SUMIFS(RECETAS!E:E,RECETAS!B:B,B32),0)</f>
        <v/>
      </c>
      <c r="H32" s="8">
        <f>E32+F32-G32-IFERROR(SUMIFS(PERDIDAS!C:C,PERDIDAS!B:B,B32),0)</f>
        <v/>
      </c>
      <c r="I32" s="7" t="n">
        <v>0</v>
      </c>
      <c r="J32" s="8">
        <f>IF(H32&lt;=0,"SIN STOCK",IF(H32&lt;=I32,"BAJO STOCK","OK"))</f>
        <v/>
      </c>
      <c r="K32" s="10">
        <f>MAX(N32+0,IFERROR(_xlfn.MAXIFS(COMPRAS!$F$5:$F$504,COMPRAS!$B$5:$B$504,B32),0))</f>
        <v/>
      </c>
      <c r="L32" s="10">
        <f>IFERROR(H32*K32,0)</f>
        <v/>
      </c>
      <c r="M32" s="5" t="inlineStr">
        <is>
          <t>Compra resma 50 / uso por unidad.</t>
        </is>
      </c>
      <c r="N32" s="9" t="n"/>
    </row>
    <row r="33">
      <c r="A33" s="6" t="inlineStr">
        <is>
          <t>I029</t>
        </is>
      </c>
      <c r="B33" s="5" t="inlineStr">
        <is>
          <t>Espirales</t>
        </is>
      </c>
      <c r="C33" s="6" t="inlineStr">
        <is>
          <t>Encuadernación</t>
        </is>
      </c>
      <c r="D33" s="6" t="inlineStr">
        <is>
          <t>unidad</t>
        </is>
      </c>
      <c r="E33" s="7" t="n">
        <v>0</v>
      </c>
      <c r="F33" s="8">
        <f>IFERROR(SUMIFS(COMPRAS!C:C,COMPRAS!B:B,B33),0)</f>
        <v/>
      </c>
      <c r="G33" s="8">
        <f>IFERROR(SUMIFS(RECETAS!E:E,RECETAS!B:B,B33),0)</f>
        <v/>
      </c>
      <c r="H33" s="8">
        <f>E33+F33-G33-IFERROR(SUMIFS(PERDIDAS!C:C,PERDIDAS!B:B,B33),0)</f>
        <v/>
      </c>
      <c r="I33" s="7" t="n">
        <v>0</v>
      </c>
      <c r="J33" s="8">
        <f>IF(H33&lt;=0,"SIN STOCK",IF(H33&lt;=I33,"BAJO STOCK","OK"))</f>
        <v/>
      </c>
      <c r="K33" s="10">
        <f>MAX(N33+0,IFERROR(_xlfn.MAXIFS(COMPRAS!$F$5:$F$504,COMPRAS!$B$5:$B$504,B33),0))</f>
        <v/>
      </c>
      <c r="L33" s="10">
        <f>IFERROR(H33*K33,0)</f>
        <v/>
      </c>
      <c r="M33" s="5" t="n"/>
      <c r="N33" s="9" t="n"/>
    </row>
    <row r="34">
      <c r="A34" s="6" t="inlineStr">
        <is>
          <t>I030</t>
        </is>
      </c>
      <c r="B34" s="5" t="inlineStr">
        <is>
          <t>Discos 24 mm</t>
        </is>
      </c>
      <c r="C34" s="6" t="inlineStr">
        <is>
          <t>Encuadernación</t>
        </is>
      </c>
      <c r="D34" s="6" t="inlineStr">
        <is>
          <t>unidad</t>
        </is>
      </c>
      <c r="E34" s="7" t="n">
        <v>0</v>
      </c>
      <c r="F34" s="8">
        <f>IFERROR(SUMIFS(COMPRAS!C:C,COMPRAS!B:B,B34),0)</f>
        <v/>
      </c>
      <c r="G34" s="8">
        <f>IFERROR(SUMIFS(RECETAS!E:E,RECETAS!B:B,B34),0)</f>
        <v/>
      </c>
      <c r="H34" s="8">
        <f>E34+F34-G34-IFERROR(SUMIFS(PERDIDAS!C:C,PERDIDAS!B:B,B34),0)</f>
        <v/>
      </c>
      <c r="I34" s="7" t="n">
        <v>0</v>
      </c>
      <c r="J34" s="8">
        <f>IF(H34&lt;=0,"SIN STOCK",IF(H34&lt;=I34,"BAJO STOCK","OK"))</f>
        <v/>
      </c>
      <c r="K34" s="10">
        <f>MAX(N34+0,IFERROR(_xlfn.MAXIFS(COMPRAS!$F$5:$F$504,COMPRAS!$B$5:$B$504,B34),0))</f>
        <v/>
      </c>
      <c r="L34" s="10">
        <f>IFERROR(H34*K34,0)</f>
        <v/>
      </c>
      <c r="M34" s="5" t="inlineStr">
        <is>
          <t>AliExpress.</t>
        </is>
      </c>
      <c r="N34" s="9" t="n"/>
    </row>
    <row r="35">
      <c r="A35" s="6" t="inlineStr">
        <is>
          <t>I031</t>
        </is>
      </c>
      <c r="B35" s="5" t="inlineStr">
        <is>
          <t>Discos 28 mm</t>
        </is>
      </c>
      <c r="C35" s="6" t="inlineStr">
        <is>
          <t>Encuadernación</t>
        </is>
      </c>
      <c r="D35" s="6" t="inlineStr">
        <is>
          <t>unidad</t>
        </is>
      </c>
      <c r="E35" s="7" t="n">
        <v>0</v>
      </c>
      <c r="F35" s="8">
        <f>IFERROR(SUMIFS(COMPRAS!C:C,COMPRAS!B:B,B35),0)</f>
        <v/>
      </c>
      <c r="G35" s="8">
        <f>IFERROR(SUMIFS(RECETAS!E:E,RECETAS!B:B,B35),0)</f>
        <v/>
      </c>
      <c r="H35" s="8">
        <f>E35+F35-G35-IFERROR(SUMIFS(PERDIDAS!C:C,PERDIDAS!B:B,B35),0)</f>
        <v/>
      </c>
      <c r="I35" s="7" t="n">
        <v>0</v>
      </c>
      <c r="J35" s="8">
        <f>IF(H35&lt;=0,"SIN STOCK",IF(H35&lt;=I35,"BAJO STOCK","OK"))</f>
        <v/>
      </c>
      <c r="K35" s="10">
        <f>MAX(N35+0,IFERROR(_xlfn.MAXIFS(COMPRAS!$F$5:$F$504,COMPRAS!$B$5:$B$504,B35),0))</f>
        <v/>
      </c>
      <c r="L35" s="10">
        <f>IFERROR(H35*K35,0)</f>
        <v/>
      </c>
      <c r="M35" s="5" t="inlineStr">
        <is>
          <t>AliExpress.</t>
        </is>
      </c>
      <c r="N35" s="9" t="n"/>
    </row>
    <row r="36">
      <c r="A36" s="6" t="inlineStr">
        <is>
          <t>I032</t>
        </is>
      </c>
      <c r="B36" s="5" t="inlineStr">
        <is>
          <t>Discos 33 mm</t>
        </is>
      </c>
      <c r="C36" s="6" t="inlineStr">
        <is>
          <t>Encuadernación</t>
        </is>
      </c>
      <c r="D36" s="6" t="inlineStr">
        <is>
          <t>unidad</t>
        </is>
      </c>
      <c r="E36" s="7" t="n">
        <v>0</v>
      </c>
      <c r="F36" s="8">
        <f>IFERROR(SUMIFS(COMPRAS!C:C,COMPRAS!B:B,B36),0)</f>
        <v/>
      </c>
      <c r="G36" s="8">
        <f>IFERROR(SUMIFS(RECETAS!E:E,RECETAS!B:B,B36),0)</f>
        <v/>
      </c>
      <c r="H36" s="8">
        <f>E36+F36-G36-IFERROR(SUMIFS(PERDIDAS!C:C,PERDIDAS!B:B,B36),0)</f>
        <v/>
      </c>
      <c r="I36" s="7" t="n">
        <v>0</v>
      </c>
      <c r="J36" s="8">
        <f>IF(H36&lt;=0,"SIN STOCK",IF(H36&lt;=I36,"BAJO STOCK","OK"))</f>
        <v/>
      </c>
      <c r="K36" s="10">
        <f>MAX(N36+0,IFERROR(_xlfn.MAXIFS(COMPRAS!$F$5:$F$504,COMPRAS!$B$5:$B$504,B36),0))</f>
        <v/>
      </c>
      <c r="L36" s="10">
        <f>IFERROR(H36*K36,0)</f>
        <v/>
      </c>
      <c r="M36" s="5" t="inlineStr">
        <is>
          <t>AliExpress.</t>
        </is>
      </c>
      <c r="N36" s="9" t="n"/>
    </row>
    <row r="37">
      <c r="A37" s="6" t="inlineStr">
        <is>
          <t>I033</t>
        </is>
      </c>
      <c r="B37" s="5" t="inlineStr">
        <is>
          <t>Anillos 16 mm (5/8")</t>
        </is>
      </c>
      <c r="C37" s="6" t="inlineStr">
        <is>
          <t>Encuadernación</t>
        </is>
      </c>
      <c r="D37" s="6" t="inlineStr">
        <is>
          <t>unidad</t>
        </is>
      </c>
      <c r="E37" s="7" t="n">
        <v>0</v>
      </c>
      <c r="F37" s="8">
        <f>IFERROR(SUMIFS(COMPRAS!C:C,COMPRAS!B:B,B37),0)</f>
        <v/>
      </c>
      <c r="G37" s="8">
        <f>IFERROR(SUMIFS(RECETAS!E:E,RECETAS!B:B,B37),0)</f>
        <v/>
      </c>
      <c r="H37" s="8">
        <f>E37+F37-G37-IFERROR(SUMIFS(PERDIDAS!C:C,PERDIDAS!B:B,B37),0)</f>
        <v/>
      </c>
      <c r="I37" s="7" t="n">
        <v>0</v>
      </c>
      <c r="J37" s="8">
        <f>IF(H37&lt;=0,"SIN STOCK",IF(H37&lt;=I37,"BAJO STOCK","OK"))</f>
        <v/>
      </c>
      <c r="K37" s="10">
        <f>MAX(N37+0,IFERROR(_xlfn.MAXIFS(COMPRAS!$F$5:$F$504,COMPRAS!$B$5:$B$504,B37),0))</f>
        <v/>
      </c>
      <c r="L37" s="10">
        <f>IFERROR(H37*K37,0)</f>
        <v/>
      </c>
      <c r="M37" s="5" t="inlineStr">
        <is>
          <t>Cada anillo = 1 unidad.</t>
        </is>
      </c>
      <c r="N37" s="9" t="n"/>
    </row>
    <row r="38">
      <c r="A38" s="6" t="inlineStr">
        <is>
          <t>I034</t>
        </is>
      </c>
      <c r="B38" s="5" t="inlineStr">
        <is>
          <t>Anillos 19 mm (3/4")</t>
        </is>
      </c>
      <c r="C38" s="6" t="inlineStr">
        <is>
          <t>Encuadernación</t>
        </is>
      </c>
      <c r="D38" s="6" t="inlineStr">
        <is>
          <t>unidad</t>
        </is>
      </c>
      <c r="E38" s="7" t="n">
        <v>0</v>
      </c>
      <c r="F38" s="8">
        <f>IFERROR(SUMIFS(COMPRAS!C:C,COMPRAS!B:B,B38),0)</f>
        <v/>
      </c>
      <c r="G38" s="8">
        <f>IFERROR(SUMIFS(RECETAS!E:E,RECETAS!B:B,B38),0)</f>
        <v/>
      </c>
      <c r="H38" s="8">
        <f>E38+F38-G38-IFERROR(SUMIFS(PERDIDAS!C:C,PERDIDAS!B:B,B38),0)</f>
        <v/>
      </c>
      <c r="I38" s="7" t="n">
        <v>0</v>
      </c>
      <c r="J38" s="8">
        <f>IF(H38&lt;=0,"SIN STOCK",IF(H38&lt;=I38,"BAJO STOCK","OK"))</f>
        <v/>
      </c>
      <c r="K38" s="10">
        <f>MAX(N38+0,IFERROR(_xlfn.MAXIFS(COMPRAS!$F$5:$F$504,COMPRAS!$B$5:$B$504,B38),0))</f>
        <v/>
      </c>
      <c r="L38" s="10">
        <f>IFERROR(H38*K38,0)</f>
        <v/>
      </c>
      <c r="M38" s="5" t="inlineStr">
        <is>
          <t>Cada anillo = 1 unidad.</t>
        </is>
      </c>
      <c r="N38" s="9" t="n"/>
    </row>
    <row r="39">
      <c r="A39" s="6" t="inlineStr">
        <is>
          <t>I035</t>
        </is>
      </c>
      <c r="B39" s="5" t="inlineStr">
        <is>
          <t>Anillos 22 mm (7/8")</t>
        </is>
      </c>
      <c r="C39" s="6" t="inlineStr">
        <is>
          <t>Encuadernación</t>
        </is>
      </c>
      <c r="D39" s="6" t="inlineStr">
        <is>
          <t>unidad</t>
        </is>
      </c>
      <c r="E39" s="7" t="n">
        <v>0</v>
      </c>
      <c r="F39" s="8">
        <f>IFERROR(SUMIFS(COMPRAS!C:C,COMPRAS!B:B,B39),0)</f>
        <v/>
      </c>
      <c r="G39" s="8">
        <f>IFERROR(SUMIFS(RECETAS!E:E,RECETAS!B:B,B39),0)</f>
        <v/>
      </c>
      <c r="H39" s="8">
        <f>E39+F39-G39-IFERROR(SUMIFS(PERDIDAS!C:C,PERDIDAS!B:B,B39),0)</f>
        <v/>
      </c>
      <c r="I39" s="7" t="n">
        <v>0</v>
      </c>
      <c r="J39" s="8">
        <f>IF(H39&lt;=0,"SIN STOCK",IF(H39&lt;=I39,"BAJO STOCK","OK"))</f>
        <v/>
      </c>
      <c r="K39" s="10">
        <f>MAX(N39+0,IFERROR(_xlfn.MAXIFS(COMPRAS!$F$5:$F$504,COMPRAS!$B$5:$B$504,B39),0))</f>
        <v/>
      </c>
      <c r="L39" s="10">
        <f>IFERROR(H39*K39,0)</f>
        <v/>
      </c>
      <c r="M39" s="5" t="inlineStr">
        <is>
          <t>Cada anillo = 1 unidad.</t>
        </is>
      </c>
      <c r="N39" s="9" t="n"/>
    </row>
    <row r="40">
      <c r="A40" s="6" t="inlineStr">
        <is>
          <t>I036</t>
        </is>
      </c>
      <c r="B40" s="5" t="inlineStr">
        <is>
          <t>Corchete</t>
        </is>
      </c>
      <c r="C40" s="6" t="inlineStr">
        <is>
          <t>Encuadernación</t>
        </is>
      </c>
      <c r="D40" s="6" t="inlineStr">
        <is>
          <t>unidad</t>
        </is>
      </c>
      <c r="E40" s="7" t="n">
        <v>0</v>
      </c>
      <c r="F40" s="8">
        <f>IFERROR(SUMIFS(COMPRAS!C:C,COMPRAS!B:B,B40),0)</f>
        <v/>
      </c>
      <c r="G40" s="8">
        <f>IFERROR(SUMIFS(RECETAS!E:E,RECETAS!B:B,B40),0)</f>
        <v/>
      </c>
      <c r="H40" s="8">
        <f>E40+F40-G40-IFERROR(SUMIFS(PERDIDAS!C:C,PERDIDAS!B:B,B40),0)</f>
        <v/>
      </c>
      <c r="I40" s="7" t="n">
        <v>0</v>
      </c>
      <c r="J40" s="8">
        <f>IF(H40&lt;=0,"SIN STOCK",IF(H40&lt;=I40,"BAJO STOCK","OK"))</f>
        <v/>
      </c>
      <c r="K40" s="10">
        <f>MAX(N40+0,IFERROR(_xlfn.MAXIFS(COMPRAS!$F$5:$F$504,COMPRAS!$B$5:$B$504,B40),0))</f>
        <v/>
      </c>
      <c r="L40" s="10">
        <f>IFERROR(H40*K40,0)</f>
        <v/>
      </c>
      <c r="M40" s="5" t="inlineStr">
        <is>
          <t>Completar costo.</t>
        </is>
      </c>
      <c r="N40" s="9" t="n"/>
    </row>
    <row r="41">
      <c r="A41" s="6" t="inlineStr">
        <is>
          <t>I037</t>
        </is>
      </c>
      <c r="B41" s="5" t="inlineStr">
        <is>
          <t>Anillas de metal</t>
        </is>
      </c>
      <c r="C41" s="6" t="inlineStr">
        <is>
          <t>Encuadernación</t>
        </is>
      </c>
      <c r="D41" s="6" t="inlineStr">
        <is>
          <t>unidad</t>
        </is>
      </c>
      <c r="E41" s="7" t="n">
        <v>0</v>
      </c>
      <c r="F41" s="8">
        <f>IFERROR(SUMIFS(COMPRAS!C:C,COMPRAS!B:B,B41),0)</f>
        <v/>
      </c>
      <c r="G41" s="8">
        <f>IFERROR(SUMIFS(RECETAS!E:E,RECETAS!B:B,B41),0)</f>
        <v/>
      </c>
      <c r="H41" s="8">
        <f>E41+F41-G41-IFERROR(SUMIFS(PERDIDAS!C:C,PERDIDAS!B:B,B41),0)</f>
        <v/>
      </c>
      <c r="I41" s="7" t="n">
        <v>0</v>
      </c>
      <c r="J41" s="8">
        <f>IF(H41&lt;=0,"SIN STOCK",IF(H41&lt;=I41,"BAJO STOCK","OK"))</f>
        <v/>
      </c>
      <c r="K41" s="10">
        <f>MAX(N41+0,IFERROR(_xlfn.MAXIFS(COMPRAS!$F$5:$F$504,COMPRAS!$B$5:$B$504,B41),0))</f>
        <v/>
      </c>
      <c r="L41" s="10">
        <f>IFERROR(H41*K41,0)</f>
        <v/>
      </c>
      <c r="M41" s="5" t="n"/>
      <c r="N41" s="9" t="n"/>
    </row>
    <row r="42">
      <c r="A42" s="6" t="inlineStr">
        <is>
          <t>I038</t>
        </is>
      </c>
      <c r="B42" s="5" t="inlineStr">
        <is>
          <t>Bolsa celofán stickers</t>
        </is>
      </c>
      <c r="C42" s="6" t="inlineStr">
        <is>
          <t>Bolsas</t>
        </is>
      </c>
      <c r="D42" s="6" t="inlineStr">
        <is>
          <t>unidad</t>
        </is>
      </c>
      <c r="E42" s="7" t="n">
        <v>0</v>
      </c>
      <c r="F42" s="8">
        <f>IFERROR(SUMIFS(COMPRAS!C:C,COMPRAS!B:B,B42),0)</f>
        <v/>
      </c>
      <c r="G42" s="8">
        <f>IFERROR(SUMIFS(RECETAS!E:E,RECETAS!B:B,B42),0)</f>
        <v/>
      </c>
      <c r="H42" s="8">
        <f>E42+F42-G42-IFERROR(SUMIFS(PERDIDAS!C:C,PERDIDAS!B:B,B42),0)</f>
        <v/>
      </c>
      <c r="I42" s="7" t="n">
        <v>0</v>
      </c>
      <c r="J42" s="8">
        <f>IF(H42&lt;=0,"SIN STOCK",IF(H42&lt;=I42,"BAJO STOCK","OK"))</f>
        <v/>
      </c>
      <c r="K42" s="10">
        <f>MAX(N42+0,IFERROR(_xlfn.MAXIFS(COMPRAS!$F$5:$F$504,COMPRAS!$B$5:$B$504,B42),0))</f>
        <v/>
      </c>
      <c r="L42" s="10">
        <f>IFERROR(H42*K42,0)</f>
        <v/>
      </c>
      <c r="M42" s="5" t="n"/>
      <c r="N42" s="9" t="n"/>
    </row>
    <row r="43">
      <c r="A43" s="6" t="inlineStr">
        <is>
          <t>I039</t>
        </is>
      </c>
      <c r="B43" s="5" t="inlineStr">
        <is>
          <t>Bolsa celofán marcapáginas</t>
        </is>
      </c>
      <c r="C43" s="6" t="inlineStr">
        <is>
          <t>Bolsas</t>
        </is>
      </c>
      <c r="D43" s="6" t="inlineStr">
        <is>
          <t>unidad</t>
        </is>
      </c>
      <c r="E43" s="7" t="n">
        <v>0</v>
      </c>
      <c r="F43" s="8">
        <f>IFERROR(SUMIFS(COMPRAS!C:C,COMPRAS!B:B,B43),0)</f>
        <v/>
      </c>
      <c r="G43" s="8">
        <f>IFERROR(SUMIFS(RECETAS!E:E,RECETAS!B:B,B43),0)</f>
        <v/>
      </c>
      <c r="H43" s="8">
        <f>E43+F43-G43-IFERROR(SUMIFS(PERDIDAS!C:C,PERDIDAS!B:B,B43),0)</f>
        <v/>
      </c>
      <c r="I43" s="7" t="n">
        <v>0</v>
      </c>
      <c r="J43" s="8">
        <f>IF(H43&lt;=0,"SIN STOCK",IF(H43&lt;=I43,"BAJO STOCK","OK"))</f>
        <v/>
      </c>
      <c r="K43" s="10">
        <f>MAX(N43+0,IFERROR(_xlfn.MAXIFS(COMPRAS!$F$5:$F$504,COMPRAS!$B$5:$B$504,B43),0))</f>
        <v/>
      </c>
      <c r="L43" s="10">
        <f>IFERROR(H43*K43,0)</f>
        <v/>
      </c>
      <c r="M43" s="5" t="n"/>
      <c r="N43" s="9" t="n"/>
    </row>
    <row r="44">
      <c r="A44" s="6" t="inlineStr">
        <is>
          <t>I040</t>
        </is>
      </c>
      <c r="B44" s="5" t="inlineStr">
        <is>
          <t>Bolsa celofán 20x30</t>
        </is>
      </c>
      <c r="C44" s="6" t="inlineStr">
        <is>
          <t>Bolsas</t>
        </is>
      </c>
      <c r="D44" s="6" t="inlineStr">
        <is>
          <t>unidad</t>
        </is>
      </c>
      <c r="E44" s="7" t="n">
        <v>0</v>
      </c>
      <c r="F44" s="8">
        <f>IFERROR(SUMIFS(COMPRAS!C:C,COMPRAS!B:B,B44),0)</f>
        <v/>
      </c>
      <c r="G44" s="8">
        <f>IFERROR(SUMIFS(RECETAS!E:E,RECETAS!B:B,B44),0)</f>
        <v/>
      </c>
      <c r="H44" s="8">
        <f>E44+F44-G44-IFERROR(SUMIFS(PERDIDAS!C:C,PERDIDAS!B:B,B44),0)</f>
        <v/>
      </c>
      <c r="I44" s="7" t="n">
        <v>0</v>
      </c>
      <c r="J44" s="8">
        <f>IF(H44&lt;=0,"SIN STOCK",IF(H44&lt;=I44,"BAJO STOCK","OK"))</f>
        <v/>
      </c>
      <c r="K44" s="10">
        <f>MAX(N44+0,IFERROR(_xlfn.MAXIFS(COMPRAS!$F$5:$F$504,COMPRAS!$B$5:$B$504,B44),0))</f>
        <v/>
      </c>
      <c r="L44" s="10">
        <f>IFERROR(H44*K44,0)</f>
        <v/>
      </c>
      <c r="M44" s="5" t="n"/>
      <c r="N44" s="9" t="n"/>
    </row>
    <row r="45">
      <c r="A45" s="6" t="inlineStr">
        <is>
          <t>I041</t>
        </is>
      </c>
      <c r="B45" s="5" t="inlineStr">
        <is>
          <t>Bolsa de papel 14x20x8</t>
        </is>
      </c>
      <c r="C45" s="6" t="inlineStr">
        <is>
          <t>Bolsas</t>
        </is>
      </c>
      <c r="D45" s="6" t="inlineStr">
        <is>
          <t>unidad</t>
        </is>
      </c>
      <c r="E45" s="7" t="n">
        <v>0</v>
      </c>
      <c r="F45" s="8">
        <f>IFERROR(SUMIFS(COMPRAS!C:C,COMPRAS!B:B,B45),0)</f>
        <v/>
      </c>
      <c r="G45" s="8">
        <f>IFERROR(SUMIFS(RECETAS!E:E,RECETAS!B:B,B45),0)</f>
        <v/>
      </c>
      <c r="H45" s="8">
        <f>E45+F45-G45-IFERROR(SUMIFS(PERDIDAS!C:C,PERDIDAS!B:B,B45),0)</f>
        <v/>
      </c>
      <c r="I45" s="7" t="n">
        <v>0</v>
      </c>
      <c r="J45" s="8">
        <f>IF(H45&lt;=0,"SIN STOCK",IF(H45&lt;=I45,"BAJO STOCK","OK"))</f>
        <v/>
      </c>
      <c r="K45" s="10">
        <f>MAX(N45+0,IFERROR(_xlfn.MAXIFS(COMPRAS!$F$5:$F$504,COMPRAS!$B$5:$B$504,B45),0))</f>
        <v/>
      </c>
      <c r="L45" s="10">
        <f>IFERROR(H45*K45,0)</f>
        <v/>
      </c>
      <c r="M45" s="5" t="n"/>
      <c r="N45" s="9" t="n"/>
    </row>
    <row r="46" ht="25.5" customHeight="1">
      <c r="A46" s="6" t="inlineStr">
        <is>
          <t>I042</t>
        </is>
      </c>
      <c r="B46" s="5" t="inlineStr">
        <is>
          <t>Imán A4</t>
        </is>
      </c>
      <c r="C46" s="6" t="inlineStr">
        <is>
          <t>Herrajes</t>
        </is>
      </c>
      <c r="D46" s="6" t="inlineStr">
        <is>
          <t>hoja A4</t>
        </is>
      </c>
      <c r="E46" s="7" t="n">
        <v>0</v>
      </c>
      <c r="F46" s="8">
        <f>IFERROR(SUMIFS(COMPRAS!C:C,COMPRAS!B:B,B46),0)</f>
        <v/>
      </c>
      <c r="G46" s="8">
        <f>IFERROR(SUMIFS(RECETAS!E:E,RECETAS!B:B,B46),0)</f>
        <v/>
      </c>
      <c r="H46" s="8">
        <f>E46+F46-G46-IFERROR(SUMIFS(PERDIDAS!C:C,PERDIDAS!B:B,B46),0)</f>
        <v/>
      </c>
      <c r="I46" s="7" t="n">
        <v>0</v>
      </c>
      <c r="J46" s="8">
        <f>IF(H46&lt;=0,"SIN STOCK",IF(H46&lt;=I46,"BAJO STOCK","OK"))</f>
        <v/>
      </c>
      <c r="K46" s="10">
        <f>MAX(N46+0,IFERROR(_xlfn.MAXIFS(COMPRAS!$F$5:$F$504,COMPRAS!$B$5:$B$504,B46),0))</f>
        <v/>
      </c>
      <c r="L46" s="10">
        <f>IFERROR(H46*K46,0)</f>
        <v/>
      </c>
      <c r="M46" s="5" t="inlineStr">
        <is>
          <t>Compra en rollo. Convertí a hojas A4 equivalentes.</t>
        </is>
      </c>
      <c r="N46" s="9" t="n"/>
    </row>
    <row r="47">
      <c r="A47" s="6" t="inlineStr">
        <is>
          <t>I043</t>
        </is>
      </c>
      <c r="B47" s="5" t="inlineStr">
        <is>
          <t>Velcro adhesivo</t>
        </is>
      </c>
      <c r="C47" s="6" t="inlineStr">
        <is>
          <t>Herrajes</t>
        </is>
      </c>
      <c r="D47" s="6" t="inlineStr">
        <is>
          <t>unidad</t>
        </is>
      </c>
      <c r="E47" s="7" t="n">
        <v>0</v>
      </c>
      <c r="F47" s="8">
        <f>IFERROR(SUMIFS(COMPRAS!C:C,COMPRAS!B:B,B47),0)</f>
        <v/>
      </c>
      <c r="G47" s="8">
        <f>IFERROR(SUMIFS(RECETAS!E:E,RECETAS!B:B,B47),0)</f>
        <v/>
      </c>
      <c r="H47" s="8">
        <f>E47+F47-G47-IFERROR(SUMIFS(PERDIDAS!C:C,PERDIDAS!B:B,B47),0)</f>
        <v/>
      </c>
      <c r="I47" s="7" t="n">
        <v>0</v>
      </c>
      <c r="J47" s="8">
        <f>IF(H47&lt;=0,"SIN STOCK",IF(H47&lt;=I47,"BAJO STOCK","OK"))</f>
        <v/>
      </c>
      <c r="K47" s="10">
        <f>MAX(N47+0,IFERROR(_xlfn.MAXIFS(COMPRAS!$F$5:$F$504,COMPRAS!$B$5:$B$504,B47),0))</f>
        <v/>
      </c>
      <c r="L47" s="10">
        <f>IFERROR(H47*K47,0)</f>
        <v/>
      </c>
      <c r="M47" s="5" t="n"/>
      <c r="N47" s="9" t="n"/>
    </row>
    <row r="48">
      <c r="A48" s="6" t="inlineStr">
        <is>
          <t>I044</t>
        </is>
      </c>
      <c r="B48" s="5" t="inlineStr">
        <is>
          <t>Perno broche bolita</t>
        </is>
      </c>
      <c r="C48" s="6" t="inlineStr">
        <is>
          <t>Herrajes</t>
        </is>
      </c>
      <c r="D48" s="6" t="inlineStr">
        <is>
          <t>unidad</t>
        </is>
      </c>
      <c r="E48" s="7" t="n">
        <v>0</v>
      </c>
      <c r="F48" s="8">
        <f>IFERROR(SUMIFS(COMPRAS!C:C,COMPRAS!B:B,B48),0)</f>
        <v/>
      </c>
      <c r="G48" s="8">
        <f>IFERROR(SUMIFS(RECETAS!E:E,RECETAS!B:B,B48),0)</f>
        <v/>
      </c>
      <c r="H48" s="8">
        <f>E48+F48-G48-IFERROR(SUMIFS(PERDIDAS!C:C,PERDIDAS!B:B,B48),0)</f>
        <v/>
      </c>
      <c r="I48" s="7" t="n">
        <v>0</v>
      </c>
      <c r="J48" s="8">
        <f>IF(H48&lt;=0,"SIN STOCK",IF(H48&lt;=I48,"BAJO STOCK","OK"))</f>
        <v/>
      </c>
      <c r="K48" s="10">
        <f>MAX(N48+0,IFERROR(_xlfn.MAXIFS(COMPRAS!$F$5:$F$504,COMPRAS!$B$5:$B$504,B48),0))</f>
        <v/>
      </c>
      <c r="L48" s="10">
        <f>IFERROR(H48*K48,0)</f>
        <v/>
      </c>
      <c r="M48" s="5" t="n"/>
      <c r="N48" s="9" t="n"/>
    </row>
    <row r="49">
      <c r="A49" s="6" t="inlineStr">
        <is>
          <t>I045</t>
        </is>
      </c>
      <c r="B49" s="5" t="inlineStr">
        <is>
          <t>Perno chicago</t>
        </is>
      </c>
      <c r="C49" s="6" t="inlineStr">
        <is>
          <t>Herrajes</t>
        </is>
      </c>
      <c r="D49" s="6" t="inlineStr">
        <is>
          <t>unidad</t>
        </is>
      </c>
      <c r="E49" s="7" t="n">
        <v>0</v>
      </c>
      <c r="F49" s="8">
        <f>IFERROR(SUMIFS(COMPRAS!C:C,COMPRAS!B:B,B49),0)</f>
        <v/>
      </c>
      <c r="G49" s="8">
        <f>IFERROR(SUMIFS(RECETAS!E:E,RECETAS!B:B,B49),0)</f>
        <v/>
      </c>
      <c r="H49" s="8">
        <f>E49+F49-G49-IFERROR(SUMIFS(PERDIDAS!C:C,PERDIDAS!B:B,B49),0)</f>
        <v/>
      </c>
      <c r="I49" s="7" t="n">
        <v>0</v>
      </c>
      <c r="J49" s="8">
        <f>IF(H49&lt;=0,"SIN STOCK",IF(H49&lt;=I49,"BAJO STOCK","OK"))</f>
        <v/>
      </c>
      <c r="K49" s="10">
        <f>MAX(N49+0,IFERROR(_xlfn.MAXIFS(COMPRAS!$F$5:$F$504,COMPRAS!$B$5:$B$504,B49),0))</f>
        <v/>
      </c>
      <c r="L49" s="10">
        <f>IFERROR(H49*K49,0)</f>
        <v/>
      </c>
      <c r="M49" s="5" t="n"/>
      <c r="N49" s="9" t="n"/>
    </row>
    <row r="50">
      <c r="A50" s="6" t="inlineStr">
        <is>
          <t>I046</t>
        </is>
      </c>
      <c r="B50" s="5" t="inlineStr">
        <is>
          <t>Broche magnético</t>
        </is>
      </c>
      <c r="C50" s="6" t="inlineStr">
        <is>
          <t>Herrajes</t>
        </is>
      </c>
      <c r="D50" s="6" t="inlineStr">
        <is>
          <t>unidad</t>
        </is>
      </c>
      <c r="E50" s="7" t="n">
        <v>0</v>
      </c>
      <c r="F50" s="8">
        <f>IFERROR(SUMIFS(COMPRAS!C:C,COMPRAS!B:B,B50),0)</f>
        <v/>
      </c>
      <c r="G50" s="8">
        <f>IFERROR(SUMIFS(RECETAS!E:E,RECETAS!B:B,B50),0)</f>
        <v/>
      </c>
      <c r="H50" s="8">
        <f>E50+F50-G50-IFERROR(SUMIFS(PERDIDAS!C:C,PERDIDAS!B:B,B50),0)</f>
        <v/>
      </c>
      <c r="I50" s="7" t="n">
        <v>0</v>
      </c>
      <c r="J50" s="8">
        <f>IF(H50&lt;=0,"SIN STOCK",IF(H50&lt;=I50,"BAJO STOCK","OK"))</f>
        <v/>
      </c>
      <c r="K50" s="10">
        <f>MAX(N50+0,IFERROR(_xlfn.MAXIFS(COMPRAS!$F$5:$F$504,COMPRAS!$B$5:$B$504,B50),0))</f>
        <v/>
      </c>
      <c r="L50" s="10">
        <f>IFERROR(H50*K50,0)</f>
        <v/>
      </c>
      <c r="M50" s="5" t="n"/>
      <c r="N50" s="9" t="n"/>
    </row>
    <row r="51">
      <c r="A51" s="6" t="inlineStr">
        <is>
          <t>I047</t>
        </is>
      </c>
      <c r="B51" s="5" t="inlineStr">
        <is>
          <t>Esquineros plateado</t>
        </is>
      </c>
      <c r="C51" s="6" t="inlineStr">
        <is>
          <t>Herrajes</t>
        </is>
      </c>
      <c r="D51" s="6" t="inlineStr">
        <is>
          <t>unidad</t>
        </is>
      </c>
      <c r="E51" s="7" t="n">
        <v>0</v>
      </c>
      <c r="F51" s="8">
        <f>IFERROR(SUMIFS(COMPRAS!C:C,COMPRAS!B:B,B51),0)</f>
        <v/>
      </c>
      <c r="G51" s="8">
        <f>IFERROR(SUMIFS(RECETAS!E:E,RECETAS!B:B,B51),0)</f>
        <v/>
      </c>
      <c r="H51" s="8">
        <f>E51+F51-G51-IFERROR(SUMIFS(PERDIDAS!C:C,PERDIDAS!B:B,B51),0)</f>
        <v/>
      </c>
      <c r="I51" s="7" t="n">
        <v>0</v>
      </c>
      <c r="J51" s="8">
        <f>IF(H51&lt;=0,"SIN STOCK",IF(H51&lt;=I51,"BAJO STOCK","OK"))</f>
        <v/>
      </c>
      <c r="K51" s="10">
        <f>MAX(N51+0,IFERROR(_xlfn.MAXIFS(COMPRAS!$F$5:$F$504,COMPRAS!$B$5:$B$504,B51),0))</f>
        <v/>
      </c>
      <c r="L51" s="10">
        <f>IFERROR(H51*K51,0)</f>
        <v/>
      </c>
      <c r="M51" s="5" t="n"/>
      <c r="N51" s="9" t="n"/>
    </row>
    <row r="52">
      <c r="A52" s="6" t="inlineStr">
        <is>
          <t>I048</t>
        </is>
      </c>
      <c r="B52" s="5" t="inlineStr">
        <is>
          <t>Esquineros dorados</t>
        </is>
      </c>
      <c r="C52" s="6" t="inlineStr">
        <is>
          <t>Herrajes</t>
        </is>
      </c>
      <c r="D52" s="6" t="inlineStr">
        <is>
          <t>unidad</t>
        </is>
      </c>
      <c r="E52" s="7" t="n">
        <v>0</v>
      </c>
      <c r="F52" s="8">
        <f>IFERROR(SUMIFS(COMPRAS!C:C,COMPRAS!B:B,B52),0)</f>
        <v/>
      </c>
      <c r="G52" s="8">
        <f>IFERROR(SUMIFS(RECETAS!E:E,RECETAS!B:B,B52),0)</f>
        <v/>
      </c>
      <c r="H52" s="8">
        <f>E52+F52-G52-IFERROR(SUMIFS(PERDIDAS!C:C,PERDIDAS!B:B,B52),0)</f>
        <v/>
      </c>
      <c r="I52" s="7" t="n">
        <v>0</v>
      </c>
      <c r="J52" s="8">
        <f>IF(H52&lt;=0,"SIN STOCK",IF(H52&lt;=I52,"BAJO STOCK","OK"))</f>
        <v/>
      </c>
      <c r="K52" s="10">
        <f>MAX(N52+0,IFERROR(_xlfn.MAXIFS(COMPRAS!$F$5:$F$504,COMPRAS!$B$5:$B$504,B52),0))</f>
        <v/>
      </c>
      <c r="L52" s="10">
        <f>IFERROR(H52*K52,0)</f>
        <v/>
      </c>
      <c r="M52" s="5" t="n"/>
      <c r="N52" s="9" t="n"/>
    </row>
    <row r="53">
      <c r="A53" s="6" t="inlineStr">
        <is>
          <t>I049</t>
        </is>
      </c>
      <c r="B53" s="5" t="inlineStr">
        <is>
          <t>Esquineros cuadriculados</t>
        </is>
      </c>
      <c r="C53" s="6" t="inlineStr">
        <is>
          <t>Herrajes</t>
        </is>
      </c>
      <c r="D53" s="6" t="inlineStr">
        <is>
          <t>unidad</t>
        </is>
      </c>
      <c r="E53" s="7" t="n">
        <v>0</v>
      </c>
      <c r="F53" s="8">
        <f>IFERROR(SUMIFS(COMPRAS!C:C,COMPRAS!B:B,B53),0)</f>
        <v/>
      </c>
      <c r="G53" s="8">
        <f>IFERROR(SUMIFS(RECETAS!E:E,RECETAS!B:B,B53),0)</f>
        <v/>
      </c>
      <c r="H53" s="8">
        <f>E53+F53-G53-IFERROR(SUMIFS(PERDIDAS!C:C,PERDIDAS!B:B,B53),0)</f>
        <v/>
      </c>
      <c r="I53" s="7" t="n">
        <v>0</v>
      </c>
      <c r="J53" s="8">
        <f>IF(H53&lt;=0,"SIN STOCK",IF(H53&lt;=I53,"BAJO STOCK","OK"))</f>
        <v/>
      </c>
      <c r="K53" s="10">
        <f>MAX(N53+0,IFERROR(_xlfn.MAXIFS(COMPRAS!$F$5:$F$504,COMPRAS!$B$5:$B$504,B53),0))</f>
        <v/>
      </c>
      <c r="L53" s="10">
        <f>IFERROR(H53*K53,0)</f>
        <v/>
      </c>
      <c r="M53" s="5" t="n"/>
      <c r="N53" s="9" t="n"/>
    </row>
    <row r="54">
      <c r="A54" s="6" t="inlineStr">
        <is>
          <t>I050</t>
        </is>
      </c>
      <c r="B54" s="5" t="inlineStr">
        <is>
          <t>Ojetillos</t>
        </is>
      </c>
      <c r="C54" s="6" t="inlineStr">
        <is>
          <t>Herrajes</t>
        </is>
      </c>
      <c r="D54" s="6" t="inlineStr">
        <is>
          <t>unidad</t>
        </is>
      </c>
      <c r="E54" s="7" t="n">
        <v>0</v>
      </c>
      <c r="F54" s="8">
        <f>IFERROR(SUMIFS(COMPRAS!C:C,COMPRAS!B:B,B54),0)</f>
        <v/>
      </c>
      <c r="G54" s="8">
        <f>IFERROR(SUMIFS(RECETAS!E:E,RECETAS!B:B,B54),0)</f>
        <v/>
      </c>
      <c r="H54" s="8">
        <f>E54+F54-G54-IFERROR(SUMIFS(PERDIDAS!C:C,PERDIDAS!B:B,B54),0)</f>
        <v/>
      </c>
      <c r="I54" s="7" t="n">
        <v>0</v>
      </c>
      <c r="J54" s="8">
        <f>IF(H54&lt;=0,"SIN STOCK",IF(H54&lt;=I54,"BAJO STOCK","OK"))</f>
        <v/>
      </c>
      <c r="K54" s="10">
        <f>MAX(N54+0,IFERROR(_xlfn.MAXIFS(COMPRAS!$F$5:$F$504,COMPRAS!$B$5:$B$504,B54),0))</f>
        <v/>
      </c>
      <c r="L54" s="10">
        <f>IFERROR(H54*K54,0)</f>
        <v/>
      </c>
      <c r="M54" s="5" t="n"/>
      <c r="N54" s="9" t="n"/>
    </row>
    <row r="55">
      <c r="A55" s="6" t="inlineStr">
        <is>
          <t>I051</t>
        </is>
      </c>
      <c r="B55" s="5" t="inlineStr">
        <is>
          <t>Elásticos</t>
        </is>
      </c>
      <c r="C55" s="6" t="inlineStr">
        <is>
          <t>Herrajes</t>
        </is>
      </c>
      <c r="D55" s="6" t="inlineStr">
        <is>
          <t>unidad</t>
        </is>
      </c>
      <c r="E55" s="7" t="n">
        <v>0</v>
      </c>
      <c r="F55" s="8">
        <f>IFERROR(SUMIFS(COMPRAS!C:C,COMPRAS!B:B,B55),0)</f>
        <v/>
      </c>
      <c r="G55" s="8">
        <f>IFERROR(SUMIFS(RECETAS!E:E,RECETAS!B:B,B55),0)</f>
        <v/>
      </c>
      <c r="H55" s="8">
        <f>E55+F55-G55-IFERROR(SUMIFS(PERDIDAS!C:C,PERDIDAS!B:B,B55),0)</f>
        <v/>
      </c>
      <c r="I55" s="7" t="n">
        <v>0</v>
      </c>
      <c r="J55" s="8">
        <f>IF(H55&lt;=0,"SIN STOCK",IF(H55&lt;=I55,"BAJO STOCK","OK"))</f>
        <v/>
      </c>
      <c r="K55" s="10">
        <f>MAX(N55+0,IFERROR(_xlfn.MAXIFS(COMPRAS!$F$5:$F$504,COMPRAS!$B$5:$B$504,B55),0))</f>
        <v/>
      </c>
      <c r="L55" s="10">
        <f>IFERROR(H55*K55,0)</f>
        <v/>
      </c>
      <c r="M55" s="5" t="n"/>
      <c r="N55" s="9" t="n"/>
    </row>
    <row r="56">
      <c r="A56" s="6" t="inlineStr">
        <is>
          <t>I052</t>
        </is>
      </c>
      <c r="B56" s="5" t="inlineStr">
        <is>
          <t>Clips</t>
        </is>
      </c>
      <c r="C56" s="6" t="inlineStr">
        <is>
          <t>Herrajes</t>
        </is>
      </c>
      <c r="D56" s="6" t="inlineStr">
        <is>
          <t>unidad</t>
        </is>
      </c>
      <c r="E56" s="7" t="n">
        <v>0</v>
      </c>
      <c r="F56" s="8">
        <f>IFERROR(SUMIFS(COMPRAS!C:C,COMPRAS!B:B,B56),0)</f>
        <v/>
      </c>
      <c r="G56" s="8">
        <f>IFERROR(SUMIFS(RECETAS!E:E,RECETAS!B:B,B56),0)</f>
        <v/>
      </c>
      <c r="H56" s="8">
        <f>E56+F56-G56-IFERROR(SUMIFS(PERDIDAS!C:C,PERDIDAS!B:B,B56),0)</f>
        <v/>
      </c>
      <c r="I56" s="7" t="n">
        <v>0</v>
      </c>
      <c r="J56" s="8">
        <f>IF(H56&lt;=0,"SIN STOCK",IF(H56&lt;=I56,"BAJO STOCK","OK"))</f>
        <v/>
      </c>
      <c r="K56" s="10">
        <f>MAX(N56+0,IFERROR(_xlfn.MAXIFS(COMPRAS!$F$5:$F$504,COMPRAS!$B$5:$B$504,B56),0))</f>
        <v/>
      </c>
      <c r="L56" s="10">
        <f>IFERROR(H56*K56,0)</f>
        <v/>
      </c>
      <c r="M56" s="5" t="n"/>
      <c r="N56" s="9" t="n"/>
    </row>
    <row r="57" ht="25.5" customHeight="1">
      <c r="A57" s="6" t="inlineStr">
        <is>
          <t>I053</t>
        </is>
      </c>
      <c r="B57" s="5" t="inlineStr">
        <is>
          <t>Tinta impresora 1 - configurar</t>
        </is>
      </c>
      <c r="C57" s="6" t="inlineStr">
        <is>
          <t>Impresión</t>
        </is>
      </c>
      <c r="D57" s="6" t="inlineStr">
        <is>
          <t>botella</t>
        </is>
      </c>
      <c r="E57" s="7" t="n">
        <v>0</v>
      </c>
      <c r="F57" s="8">
        <f>IFERROR(SUMIFS(COMPRAS!C:C,COMPRAS!B:B,B57),0)</f>
        <v/>
      </c>
      <c r="G57" s="8">
        <f>IFERROR(SUMIFS(RECETAS!E:E,RECETAS!B:B,B57),0)</f>
        <v/>
      </c>
      <c r="H57" s="8">
        <f>E57+F57-G57-IFERROR(SUMIFS(PERDIDAS!C:C,PERDIDAS!B:B,B57),0)</f>
        <v/>
      </c>
      <c r="I57" s="7" t="n">
        <v>0</v>
      </c>
      <c r="J57" s="8">
        <f>IF(H57&lt;=0,"SIN STOCK",IF(H57&lt;=I57,"BAJO STOCK","OK"))</f>
        <v/>
      </c>
      <c r="K57" s="10">
        <f>MAX(N57+0,IFERROR(_xlfn.MAXIFS(COMPRAS!$F$5:$F$504,COMPRAS!$B$5:$B$504,B57),0))</f>
        <v/>
      </c>
      <c r="L57" s="10">
        <f>IFERROR(H57*K57,0)</f>
        <v/>
      </c>
      <c r="M57" s="5" t="inlineStr">
        <is>
          <t>Duplicá esta fila por cada color/impresora. Ej: Negra, Cyan, Magenta, Amarilla.</t>
        </is>
      </c>
      <c r="N57" s="9" t="n"/>
    </row>
    <row r="58">
      <c r="A58" s="6" t="inlineStr">
        <is>
          <t>I054</t>
        </is>
      </c>
      <c r="B58" s="5" t="inlineStr">
        <is>
          <t>Tinta impresora 2 - configurar</t>
        </is>
      </c>
      <c r="C58" s="6" t="inlineStr">
        <is>
          <t>Impresión</t>
        </is>
      </c>
      <c r="D58" s="6" t="inlineStr">
        <is>
          <t>botella</t>
        </is>
      </c>
      <c r="E58" s="7" t="n">
        <v>0</v>
      </c>
      <c r="F58" s="8">
        <f>IFERROR(SUMIFS(COMPRAS!C:C,COMPRAS!B:B,B58),0)</f>
        <v/>
      </c>
      <c r="G58" s="8">
        <f>IFERROR(SUMIFS(RECETAS!E:E,RECETAS!B:B,B58),0)</f>
        <v/>
      </c>
      <c r="H58" s="8">
        <f>E58+F58-G58-IFERROR(SUMIFS(PERDIDAS!C:C,PERDIDAS!B:B,B58),0)</f>
        <v/>
      </c>
      <c r="I58" s="7" t="n">
        <v>0</v>
      </c>
      <c r="J58" s="8">
        <f>IF(H58&lt;=0,"SIN STOCK",IF(H58&lt;=I58,"BAJO STOCK","OK"))</f>
        <v/>
      </c>
      <c r="K58" s="10">
        <f>MAX(N58+0,IFERROR(_xlfn.MAXIFS(COMPRAS!$F$5:$F$504,COMPRAS!$B$5:$B$504,B58),0))</f>
        <v/>
      </c>
      <c r="L58" s="10">
        <f>IFERROR(H58*K58,0)</f>
        <v/>
      </c>
      <c r="M58" s="5" t="inlineStr">
        <is>
          <t>Duplicá esta fila por cada color/impresora.</t>
        </is>
      </c>
      <c r="N58" s="9" t="n"/>
    </row>
    <row r="59">
      <c r="A59" s="6" t="inlineStr">
        <is>
          <t>I055</t>
        </is>
      </c>
      <c r="B59" s="5" t="inlineStr">
        <is>
          <t>Tinta impresora 3 - configurar</t>
        </is>
      </c>
      <c r="C59" s="6" t="inlineStr">
        <is>
          <t>Impresión</t>
        </is>
      </c>
      <c r="D59" s="6" t="inlineStr">
        <is>
          <t>botella</t>
        </is>
      </c>
      <c r="E59" s="7" t="n">
        <v>0</v>
      </c>
      <c r="F59" s="8">
        <f>IFERROR(SUMIFS(COMPRAS!C:C,COMPRAS!B:B,B59),0)</f>
        <v/>
      </c>
      <c r="G59" s="8">
        <f>IFERROR(SUMIFS(RECETAS!E:E,RECETAS!B:B,B59),0)</f>
        <v/>
      </c>
      <c r="H59" s="8">
        <f>E59+F59-G59-IFERROR(SUMIFS(PERDIDAS!C:C,PERDIDAS!B:B,B59),0)</f>
        <v/>
      </c>
      <c r="I59" s="7" t="n">
        <v>0</v>
      </c>
      <c r="J59" s="8">
        <f>IF(H59&lt;=0,"SIN STOCK",IF(H59&lt;=I59,"BAJO STOCK","OK"))</f>
        <v/>
      </c>
      <c r="K59" s="10">
        <f>MAX(N59+0,IFERROR(_xlfn.MAXIFS(COMPRAS!$F$5:$F$504,COMPRAS!$B$5:$B$504,B59),0))</f>
        <v/>
      </c>
      <c r="L59" s="10">
        <f>IFERROR(H59*K59,0)</f>
        <v/>
      </c>
      <c r="M59" s="5" t="inlineStr">
        <is>
          <t>Duplicá esta fila por cada color/impresora.</t>
        </is>
      </c>
      <c r="N59" s="9" t="n"/>
    </row>
    <row r="60">
      <c r="A60" s="6" t="inlineStr">
        <is>
          <t>I056</t>
        </is>
      </c>
      <c r="B60" s="5" t="inlineStr">
        <is>
          <t>Traspaso vinilo</t>
        </is>
      </c>
      <c r="C60" s="6" t="inlineStr">
        <is>
          <t>Impresión</t>
        </is>
      </c>
      <c r="D60" s="6" t="inlineStr">
        <is>
          <t>hoja</t>
        </is>
      </c>
      <c r="E60" s="7" t="n">
        <v>0</v>
      </c>
      <c r="F60" s="8">
        <f>IFERROR(SUMIFS(COMPRAS!C:C,COMPRAS!B:B,B60),0)</f>
        <v/>
      </c>
      <c r="G60" s="8">
        <f>IFERROR(SUMIFS(RECETAS!E:E,RECETAS!B:B,B60),0)</f>
        <v/>
      </c>
      <c r="H60" s="8">
        <f>E60+F60-G60-IFERROR(SUMIFS(PERDIDAS!C:C,PERDIDAS!B:B,B60),0)</f>
        <v/>
      </c>
      <c r="I60" s="7" t="n">
        <v>0</v>
      </c>
      <c r="J60" s="8">
        <f>IF(H60&lt;=0,"SIN STOCK",IF(H60&lt;=I60,"BAJO STOCK","OK"))</f>
        <v/>
      </c>
      <c r="K60" s="10">
        <f>MAX(N60+0,IFERROR(_xlfn.MAXIFS(COMPRAS!$F$5:$F$504,COMPRAS!$B$5:$B$504,B60),0))</f>
        <v/>
      </c>
      <c r="L60" s="10">
        <f>IFERROR(H60*K60,0)</f>
        <v/>
      </c>
      <c r="M60" s="5" t="inlineStr">
        <is>
          <t>Completar costo.</t>
        </is>
      </c>
      <c r="N60" s="9" t="n"/>
    </row>
    <row r="61">
      <c r="A61" s="6" t="inlineStr">
        <is>
          <t>I057</t>
        </is>
      </c>
      <c r="B61" s="5" t="inlineStr">
        <is>
          <t>Vinilo</t>
        </is>
      </c>
      <c r="C61" s="6" t="inlineStr">
        <is>
          <t>Impresión</t>
        </is>
      </c>
      <c r="D61" s="6" t="inlineStr">
        <is>
          <t>hoja</t>
        </is>
      </c>
      <c r="E61" s="7" t="n">
        <v>0</v>
      </c>
      <c r="F61" s="8">
        <f>IFERROR(SUMIFS(COMPRAS!C:C,COMPRAS!B:B,B61),0)</f>
        <v/>
      </c>
      <c r="G61" s="8">
        <f>IFERROR(SUMIFS(RECETAS!E:E,RECETAS!B:B,B61),0)</f>
        <v/>
      </c>
      <c r="H61" s="8">
        <f>E61+F61-G61-IFERROR(SUMIFS(PERDIDAS!C:C,PERDIDAS!B:B,B61),0)</f>
        <v/>
      </c>
      <c r="I61" s="7" t="n">
        <v>0</v>
      </c>
      <c r="J61" s="8">
        <f>IF(H61&lt;=0,"SIN STOCK",IF(H61&lt;=I61,"BAJO STOCK","OK"))</f>
        <v/>
      </c>
      <c r="K61" s="10">
        <f>MAX(N61+0,IFERROR(_xlfn.MAXIFS(COMPRAS!$F$5:$F$504,COMPRAS!$B$5:$B$504,B61),0))</f>
        <v/>
      </c>
      <c r="L61" s="10">
        <f>IFERROR(H61*K61,0)</f>
        <v/>
      </c>
      <c r="M61" s="5" t="inlineStr">
        <is>
          <t>Completar costo.</t>
        </is>
      </c>
      <c r="N61" s="9" t="n"/>
    </row>
    <row r="62">
      <c r="A62" s="6" t="inlineStr">
        <is>
          <t>I058</t>
        </is>
      </c>
      <c r="B62" s="5" t="inlineStr">
        <is>
          <t>Uso Cameo (lámina de corte)</t>
        </is>
      </c>
      <c r="C62" s="6" t="inlineStr">
        <is>
          <t>Impresión</t>
        </is>
      </c>
      <c r="D62" s="6" t="inlineStr">
        <is>
          <t>hoja</t>
        </is>
      </c>
      <c r="E62" s="7" t="n">
        <v>0</v>
      </c>
      <c r="F62" s="8">
        <f>IFERROR(SUMIFS(COMPRAS!C:C,COMPRAS!B:B,B62),0)</f>
        <v/>
      </c>
      <c r="G62" s="8">
        <f>IFERROR(SUMIFS(RECETAS!E:E,RECETAS!B:B,B62),0)</f>
        <v/>
      </c>
      <c r="H62" s="8">
        <f>E62+F62-G62-IFERROR(SUMIFS(PERDIDAS!C:C,PERDIDAS!B:B,B62),0)</f>
        <v/>
      </c>
      <c r="I62" s="7" t="n">
        <v>0</v>
      </c>
      <c r="J62" s="8">
        <f>IF(H62&lt;=0,"SIN STOCK",IF(H62&lt;=I62,"BAJO STOCK","OK"))</f>
        <v/>
      </c>
      <c r="K62" s="10">
        <f>MAX(N62+0,IFERROR(_xlfn.MAXIFS(COMPRAS!$F$5:$F$504,COMPRAS!$B$5:$B$504,B62),0))</f>
        <v/>
      </c>
      <c r="L62" s="10">
        <f>IFERROR(H62*K62,0)</f>
        <v/>
      </c>
      <c r="M62" s="5" t="n"/>
      <c r="N62" s="9" t="n"/>
    </row>
    <row r="63">
      <c r="A63" s="6" t="inlineStr">
        <is>
          <t>I059</t>
        </is>
      </c>
      <c r="B63" s="5" t="inlineStr">
        <is>
          <t>Cinta doble faz</t>
        </is>
      </c>
      <c r="C63" s="6" t="inlineStr">
        <is>
          <t>Otros</t>
        </is>
      </c>
      <c r="D63" s="6" t="inlineStr">
        <is>
          <t>cm</t>
        </is>
      </c>
      <c r="E63" s="7" t="n">
        <v>0</v>
      </c>
      <c r="F63" s="8">
        <f>IFERROR(SUMIFS(COMPRAS!C:C,COMPRAS!B:B,B63),0)</f>
        <v/>
      </c>
      <c r="G63" s="8">
        <f>IFERROR(SUMIFS(RECETAS!E:E,RECETAS!B:B,B63),0)</f>
        <v/>
      </c>
      <c r="H63" s="8">
        <f>E63+F63-G63-IFERROR(SUMIFS(PERDIDAS!C:C,PERDIDAS!B:B,B63),0)</f>
        <v/>
      </c>
      <c r="I63" s="7" t="n">
        <v>0</v>
      </c>
      <c r="J63" s="8">
        <f>IF(H63&lt;=0,"SIN STOCK",IF(H63&lt;=I63,"BAJO STOCK","OK"))</f>
        <v/>
      </c>
      <c r="K63" s="10">
        <f>MAX(N63+0,IFERROR(_xlfn.MAXIFS(COMPRAS!$F$5:$F$504,COMPRAS!$B$5:$B$504,B63),0))</f>
        <v/>
      </c>
      <c r="L63" s="10">
        <f>IFERROR(H63*K63,0)</f>
        <v/>
      </c>
      <c r="M63" s="5" t="inlineStr">
        <is>
          <t>Completar costo por cm.</t>
        </is>
      </c>
      <c r="N63" s="9" t="n"/>
    </row>
    <row r="64">
      <c r="A64" s="6" t="inlineStr">
        <is>
          <t>I060</t>
        </is>
      </c>
      <c r="B64" s="5" t="inlineStr">
        <is>
          <t>Pegamento</t>
        </is>
      </c>
      <c r="C64" s="6" t="inlineStr">
        <is>
          <t>Otros</t>
        </is>
      </c>
      <c r="D64" s="6" t="inlineStr">
        <is>
          <t>unidad</t>
        </is>
      </c>
      <c r="E64" s="7" t="n">
        <v>0</v>
      </c>
      <c r="F64" s="8">
        <f>IFERROR(SUMIFS(COMPRAS!C:C,COMPRAS!B:B,B64),0)</f>
        <v/>
      </c>
      <c r="G64" s="8">
        <f>IFERROR(SUMIFS(RECETAS!E:E,RECETAS!B:B,B64),0)</f>
        <v/>
      </c>
      <c r="H64" s="8">
        <f>E64+F64-G64-IFERROR(SUMIFS(PERDIDAS!C:C,PERDIDAS!B:B,B64),0)</f>
        <v/>
      </c>
      <c r="I64" s="7" t="n">
        <v>0</v>
      </c>
      <c r="J64" s="8">
        <f>IF(H64&lt;=0,"SIN STOCK",IF(H64&lt;=I64,"BAJO STOCK","OK"))</f>
        <v/>
      </c>
      <c r="K64" s="10">
        <f>MAX(N64+0,IFERROR(_xlfn.MAXIFS(COMPRAS!$F$5:$F$504,COMPRAS!$B$5:$B$504,B64),0))</f>
        <v/>
      </c>
      <c r="L64" s="10">
        <f>IFERROR(H64*K64,0)</f>
        <v/>
      </c>
      <c r="M64" s="5" t="n"/>
      <c r="N64" s="9" t="n"/>
    </row>
    <row r="65">
      <c r="A65" s="6" t="inlineStr">
        <is>
          <t>I061</t>
        </is>
      </c>
      <c r="B65" s="5" t="inlineStr">
        <is>
          <t>Calendario</t>
        </is>
      </c>
      <c r="C65" s="6" t="inlineStr">
        <is>
          <t>Otros</t>
        </is>
      </c>
      <c r="D65" s="6" t="inlineStr">
        <is>
          <t>unidad</t>
        </is>
      </c>
      <c r="E65" s="7" t="n">
        <v>0</v>
      </c>
      <c r="F65" s="8">
        <f>IFERROR(SUMIFS(COMPRAS!C:C,COMPRAS!B:B,B65),0)</f>
        <v/>
      </c>
      <c r="G65" s="8">
        <f>IFERROR(SUMIFS(RECETAS!E:E,RECETAS!B:B,B65),0)</f>
        <v/>
      </c>
      <c r="H65" s="8">
        <f>E65+F65-G65-IFERROR(SUMIFS(PERDIDAS!C:C,PERDIDAS!B:B,B65),0)</f>
        <v/>
      </c>
      <c r="I65" s="7" t="n">
        <v>0</v>
      </c>
      <c r="J65" s="8">
        <f>IF(H65&lt;=0,"SIN STOCK",IF(H65&lt;=I65,"BAJO STOCK","OK"))</f>
        <v/>
      </c>
      <c r="K65" s="10">
        <f>MAX(N65+0,IFERROR(_xlfn.MAXIFS(COMPRAS!$F$5:$F$504,COMPRAS!$B$5:$B$504,B65),0))</f>
        <v/>
      </c>
      <c r="L65" s="10">
        <f>IFERROR(H65*K65,0)</f>
        <v/>
      </c>
      <c r="M65" s="5" t="n"/>
      <c r="N65" s="9" t="n"/>
    </row>
    <row r="66">
      <c r="A66" s="6" t="inlineStr">
        <is>
          <t>I062</t>
        </is>
      </c>
      <c r="B66" s="5" t="inlineStr">
        <is>
          <t>Calendario bimensual</t>
        </is>
      </c>
      <c r="C66" s="6" t="inlineStr">
        <is>
          <t>Otros</t>
        </is>
      </c>
      <c r="D66" s="6" t="inlineStr">
        <is>
          <t>unidad</t>
        </is>
      </c>
      <c r="E66" s="7" t="n">
        <v>0</v>
      </c>
      <c r="F66" s="8">
        <f>IFERROR(SUMIFS(COMPRAS!C:C,COMPRAS!B:B,B66),0)</f>
        <v/>
      </c>
      <c r="G66" s="8">
        <f>IFERROR(SUMIFS(RECETAS!E:E,RECETAS!B:B,B66),0)</f>
        <v/>
      </c>
      <c r="H66" s="8">
        <f>E66+F66-G66-IFERROR(SUMIFS(PERDIDAS!C:C,PERDIDAS!B:B,B66),0)</f>
        <v/>
      </c>
      <c r="I66" s="7" t="n">
        <v>0</v>
      </c>
      <c r="J66" s="8">
        <f>IF(H66&lt;=0,"SIN STOCK",IF(H66&lt;=I66,"BAJO STOCK","OK"))</f>
        <v/>
      </c>
      <c r="K66" s="10">
        <f>MAX(N66+0,IFERROR(_xlfn.MAXIFS(COMPRAS!$F$5:$F$504,COMPRAS!$B$5:$B$504,B66),0))</f>
        <v/>
      </c>
      <c r="L66" s="10">
        <f>IFERROR(H66*K66,0)</f>
        <v/>
      </c>
      <c r="M66" s="5" t="n"/>
      <c r="N66" s="9" t="n"/>
    </row>
    <row r="67">
      <c r="A67" s="6" t="inlineStr">
        <is>
          <t>I063</t>
        </is>
      </c>
      <c r="B67" s="5" t="inlineStr">
        <is>
          <t>Calendario 12 meses</t>
        </is>
      </c>
      <c r="C67" s="6" t="inlineStr">
        <is>
          <t>Otros</t>
        </is>
      </c>
      <c r="D67" s="6" t="inlineStr">
        <is>
          <t>unidad</t>
        </is>
      </c>
      <c r="E67" s="7" t="n">
        <v>0</v>
      </c>
      <c r="F67" s="8">
        <f>IFERROR(SUMIFS(COMPRAS!C:C,COMPRAS!B:B,B67),0)</f>
        <v/>
      </c>
      <c r="G67" s="8">
        <f>IFERROR(SUMIFS(RECETAS!E:E,RECETAS!B:B,B67),0)</f>
        <v/>
      </c>
      <c r="H67" s="8">
        <f>E67+F67-G67-IFERROR(SUMIFS(PERDIDAS!C:C,PERDIDAS!B:B,B67),0)</f>
        <v/>
      </c>
      <c r="I67" s="7" t="n">
        <v>0</v>
      </c>
      <c r="J67" s="8">
        <f>IF(H67&lt;=0,"SIN STOCK",IF(H67&lt;=I67,"BAJO STOCK","OK"))</f>
        <v/>
      </c>
      <c r="K67" s="10">
        <f>MAX(N67+0,IFERROR(_xlfn.MAXIFS(COMPRAS!$F$5:$F$504,COMPRAS!$B$5:$B$504,B67),0))</f>
        <v/>
      </c>
      <c r="L67" s="10">
        <f>IFERROR(H67*K67,0)</f>
        <v/>
      </c>
      <c r="M67" s="5" t="n"/>
      <c r="N67" s="9" t="n"/>
    </row>
  </sheetData>
  <mergeCells count="2">
    <mergeCell ref="A2:M2"/>
    <mergeCell ref="A1:M1"/>
  </mergeCells>
  <conditionalFormatting sqref="J5:J67">
    <cfRule type="cellIs" priority="2" operator="equal" dxfId="2">
      <formula>"SIN STOCK"</formula>
    </cfRule>
    <cfRule type="cellIs" priority="3" operator="equal" dxfId="1">
      <formula>"BAJO STOCK"</formula>
    </cfRule>
    <cfRule type="cellIs" priority="4" operator="equal" dxfId="0">
      <formula>"OK"</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104"/>
  <sheetViews>
    <sheetView zoomScaleNormal="100" workbookViewId="0">
      <pane ySplit="4" topLeftCell="A5" activePane="bottomLeft" state="frozen"/>
      <selection pane="bottomLeft" activeCell="C7" sqref="C7"/>
    </sheetView>
  </sheetViews>
  <sheetFormatPr baseColWidth="10" defaultColWidth="8.7109375" defaultRowHeight="15"/>
  <cols>
    <col width="10" customWidth="1" min="1" max="1"/>
    <col width="40" customWidth="1" min="2" max="2"/>
    <col width="12" customWidth="1" min="3" max="3"/>
    <col width="45" customWidth="1" min="4" max="4"/>
  </cols>
  <sheetData>
    <row r="1" ht="27.75" customHeight="1">
      <c r="A1" s="14" t="inlineStr">
        <is>
          <t>🛍️ PRODUCTOS que fabricás</t>
        </is>
      </c>
    </row>
    <row r="2">
      <c r="A2" s="15" t="inlineStr">
        <is>
          <t>Anotá acá cada producto que hacés. En la hoja RECETAS decís qué insumos lleva cada uno.</t>
        </is>
      </c>
    </row>
    <row r="4" ht="31.5" customHeight="1">
      <c r="A4" s="4" t="inlineStr">
        <is>
          <t>Código</t>
        </is>
      </c>
      <c r="B4" s="4" t="inlineStr">
        <is>
          <t>Nombre del producto</t>
        </is>
      </c>
      <c r="C4" s="4" t="inlineStr">
        <is>
          <t>Total
producido</t>
        </is>
      </c>
      <c r="D4" s="4" t="inlineStr">
        <is>
          <t>Notas</t>
        </is>
      </c>
    </row>
    <row r="5">
      <c r="A5" s="13" t="inlineStr">
        <is>
          <t>P001</t>
        </is>
      </c>
      <c r="B5" s="7" t="inlineStr">
        <is>
          <t>Libreta A6 - 50 Hojas</t>
        </is>
      </c>
      <c r="C5" s="8" t="n">
        <v>0</v>
      </c>
      <c r="D5" s="11" t="n"/>
    </row>
    <row r="6">
      <c r="A6" s="7" t="inlineStr">
        <is>
          <t>P002</t>
        </is>
      </c>
      <c r="B6" s="7" t="inlineStr">
        <is>
          <t>Libreta A6 - Solapa</t>
        </is>
      </c>
      <c r="C6" s="8" t="n">
        <v>0</v>
      </c>
      <c r="D6" s="11" t="n"/>
    </row>
    <row r="7">
      <c r="A7" s="7" t="inlineStr">
        <is>
          <t>P003</t>
        </is>
      </c>
      <c r="B7" s="7" t="inlineStr">
        <is>
          <t>A5 discos - 100 Hojas</t>
        </is>
      </c>
      <c r="C7" s="8">
        <f>IFERROR(SUMIFS(PRODUCCION!C:C,PRODUCCION!B:B,B7),0)</f>
        <v/>
      </c>
      <c r="D7" s="11" t="n"/>
    </row>
    <row r="8">
      <c r="A8" s="13" t="inlineStr">
        <is>
          <t>P004</t>
        </is>
      </c>
      <c r="B8" s="13" t="inlineStr">
        <is>
          <t>A5 discos - 150 Hojas</t>
        </is>
      </c>
      <c r="C8" s="8">
        <f>IFERROR(SUMIFS(PRODUCCION!C:C,PRODUCCION!B:B,B8),0)</f>
        <v/>
      </c>
      <c r="D8" s="11" t="n"/>
    </row>
    <row r="9">
      <c r="A9" s="7" t="inlineStr">
        <is>
          <t>P005</t>
        </is>
      </c>
      <c r="B9" s="13" t="inlineStr">
        <is>
          <t>B5 discos - 100 Hojas</t>
        </is>
      </c>
      <c r="C9" s="8">
        <f>IFERROR(SUMIFS(PRODUCCION!C:C,PRODUCCION!B:B,B9),0)</f>
        <v/>
      </c>
      <c r="D9" s="11" t="n"/>
    </row>
    <row r="10">
      <c r="A10" s="7" t="inlineStr">
        <is>
          <t>P006</t>
        </is>
      </c>
      <c r="B10" s="13" t="inlineStr">
        <is>
          <t>B5 discos - 150 Hojas</t>
        </is>
      </c>
      <c r="C10" s="8">
        <f>IFERROR(SUMIFS(PRODUCCION!C:C,PRODUCCION!B:B,B10),0)</f>
        <v/>
      </c>
      <c r="D10" s="11" t="n"/>
    </row>
    <row r="11">
      <c r="A11" s="13" t="inlineStr">
        <is>
          <t>P007</t>
        </is>
      </c>
      <c r="B11" s="13" t="inlineStr">
        <is>
          <t>A5 Espiral blando - 80 hojas</t>
        </is>
      </c>
      <c r="C11" s="8">
        <f>IFERROR(SUMIFS(PRODUCCION!C:C,PRODUCCION!B:B,B11),0)</f>
        <v/>
      </c>
      <c r="D11" s="11" t="n"/>
    </row>
    <row r="12">
      <c r="A12" s="7" t="inlineStr">
        <is>
          <t>P008</t>
        </is>
      </c>
      <c r="B12" s="13" t="inlineStr">
        <is>
          <t>B5 Espiral blando - 80 hojas</t>
        </is>
      </c>
      <c r="C12" s="8">
        <f>IFERROR(SUMIFS(PRODUCCION!C:C,PRODUCCION!B:B,B12),0)</f>
        <v/>
      </c>
      <c r="D12" s="11" t="n"/>
    </row>
    <row r="13">
      <c r="A13" s="7" t="inlineStr">
        <is>
          <t>P009</t>
        </is>
      </c>
      <c r="B13" s="13" t="inlineStr">
        <is>
          <t>A5 Espiral Tapa dura - 80 hojas</t>
        </is>
      </c>
      <c r="C13" s="8">
        <f>IFERROR(SUMIFS(PRODUCCION!C:C,PRODUCCION!B:B,B13),0)</f>
        <v/>
      </c>
      <c r="D13" s="11" t="n"/>
    </row>
    <row r="14">
      <c r="A14" s="13" t="inlineStr">
        <is>
          <t>P010</t>
        </is>
      </c>
      <c r="B14" s="13" t="inlineStr">
        <is>
          <t>B5 Espiral Tapa dura - 80 hojas</t>
        </is>
      </c>
      <c r="C14" s="8">
        <f>IFERROR(SUMIFS(PRODUCCION!C:C,PRODUCCION!B:B,B14),0)</f>
        <v/>
      </c>
      <c r="D14" s="11" t="n"/>
    </row>
    <row r="15">
      <c r="A15" s="7" t="inlineStr">
        <is>
          <t>P011</t>
        </is>
      </c>
      <c r="B15" s="13" t="inlineStr">
        <is>
          <t>A5 anillos - 50 hojas</t>
        </is>
      </c>
      <c r="C15" s="8">
        <f>IFERROR(SUMIFS(PRODUCCION!C:C,PRODUCCION!B:B,B15),0)</f>
        <v/>
      </c>
      <c r="D15" s="11" t="n"/>
    </row>
    <row r="16">
      <c r="A16" s="7" t="inlineStr">
        <is>
          <t>P012</t>
        </is>
      </c>
      <c r="B16" s="13" t="inlineStr">
        <is>
          <t>B5 Anillos - 50 hojas</t>
        </is>
      </c>
      <c r="C16" s="8">
        <f>IFERROR(SUMIFS(PRODUCCION!C:C,PRODUCCION!B:B,B16),0)</f>
        <v/>
      </c>
      <c r="D16" s="11" t="n"/>
    </row>
    <row r="17">
      <c r="A17" s="13" t="inlineStr">
        <is>
          <t>P013</t>
        </is>
      </c>
      <c r="B17" s="13" t="inlineStr">
        <is>
          <t>A5 anillos - 100 hojas</t>
        </is>
      </c>
      <c r="C17" s="8">
        <f>IFERROR(SUMIFS(PRODUCCION!C:C,PRODUCCION!B:B,B17),0)</f>
        <v/>
      </c>
      <c r="D17" s="11" t="n"/>
    </row>
    <row r="18">
      <c r="A18" s="7" t="inlineStr">
        <is>
          <t>P014</t>
        </is>
      </c>
      <c r="B18" s="13" t="inlineStr">
        <is>
          <t>B5 Anillos - 100 hojas</t>
        </is>
      </c>
      <c r="C18" s="8">
        <f>IFERROR(SUMIFS(PRODUCCION!C:C,PRODUCCION!B:B,B18),0)</f>
        <v/>
      </c>
      <c r="D18" s="11" t="n"/>
    </row>
    <row r="19">
      <c r="A19" s="7" t="inlineStr">
        <is>
          <t>P015</t>
        </is>
      </c>
      <c r="B19" s="13" t="inlineStr">
        <is>
          <t>Planner 50 hojas</t>
        </is>
      </c>
      <c r="C19" s="8">
        <f>IFERROR(SUMIFS(PRODUCCION!C:C,PRODUCCION!B:B,B19),0)</f>
        <v/>
      </c>
      <c r="D19" s="11" t="n"/>
    </row>
    <row r="20">
      <c r="A20" s="13" t="inlineStr">
        <is>
          <t>P016</t>
        </is>
      </c>
      <c r="B20" s="7" t="inlineStr">
        <is>
          <t>Planner 100 hojas</t>
        </is>
      </c>
      <c r="C20" s="8">
        <f>IFERROR(SUMIFS(PRODUCCION!C:C,PRODUCCION!B:B,B20),0)</f>
        <v/>
      </c>
      <c r="D20" s="11" t="n"/>
    </row>
    <row r="21">
      <c r="A21" s="7" t="inlineStr">
        <is>
          <t>P017</t>
        </is>
      </c>
      <c r="B21" s="13" t="inlineStr">
        <is>
          <t>Libreta Corchetes</t>
        </is>
      </c>
      <c r="C21" s="8">
        <f>IFERROR(SUMIFS(PRODUCCION!C:C,PRODUCCION!B:B,B21),0)</f>
        <v/>
      </c>
      <c r="D21" s="11" t="n"/>
    </row>
    <row r="22">
      <c r="A22" s="7" t="inlineStr">
        <is>
          <t>P018</t>
        </is>
      </c>
      <c r="B22" s="13" t="inlineStr">
        <is>
          <t>Semanal Encolado</t>
        </is>
      </c>
      <c r="C22" s="8">
        <f>IFERROR(SUMIFS(PRODUCCION!C:C,PRODUCCION!B:B,B22),0)</f>
        <v/>
      </c>
      <c r="D22" s="11" t="n"/>
    </row>
    <row r="23">
      <c r="A23" s="13" t="inlineStr">
        <is>
          <t>P019</t>
        </is>
      </c>
      <c r="B23" s="13" t="inlineStr">
        <is>
          <t>Lamina Stickers</t>
        </is>
      </c>
      <c r="C23" s="8">
        <f>IFERROR(SUMIFS(PRODUCCION!C:C,PRODUCCION!B:B,B23),0)</f>
        <v/>
      </c>
      <c r="D23" s="11" t="n"/>
    </row>
    <row r="24">
      <c r="A24" s="7" t="inlineStr">
        <is>
          <t>P020</t>
        </is>
      </c>
      <c r="B24" s="13" t="inlineStr">
        <is>
          <t>Marcapagina Iman</t>
        </is>
      </c>
      <c r="C24" s="8">
        <f>IFERROR(SUMIFS(PRODUCCION!C:C,PRODUCCION!B:B,B24),0)</f>
        <v/>
      </c>
      <c r="D24" s="11" t="n"/>
    </row>
    <row r="25">
      <c r="A25" s="7" t="inlineStr">
        <is>
          <t>P021</t>
        </is>
      </c>
      <c r="B25" s="13" t="inlineStr">
        <is>
          <t>Pack Stickers Suelto</t>
        </is>
      </c>
      <c r="C25" s="8">
        <f>IFERROR(SUMIFS(PRODUCCION!C:C,PRODUCCION!B:B,B25),0)</f>
        <v/>
      </c>
      <c r="D25" s="11" t="n"/>
    </row>
    <row r="26">
      <c r="A26" s="7" t="n"/>
      <c r="B26" s="7" t="n"/>
      <c r="C26" s="8">
        <f>IFERROR(SUMIFS(PRODUCCION!C:C,PRODUCCION!B:B,B26),0)</f>
        <v/>
      </c>
      <c r="D26" s="11" t="n"/>
    </row>
    <row r="27">
      <c r="A27" s="7" t="n"/>
      <c r="B27" s="7" t="n"/>
      <c r="C27" s="8">
        <f>IFERROR(SUMIFS(PRODUCCION!C:C,PRODUCCION!B:B,B27),0)</f>
        <v/>
      </c>
      <c r="D27" s="11" t="n"/>
    </row>
    <row r="28">
      <c r="A28" s="7" t="n"/>
      <c r="B28" s="7" t="n"/>
      <c r="C28" s="8">
        <f>IFERROR(SUMIFS(PRODUCCION!C:C,PRODUCCION!B:B,B28),0)</f>
        <v/>
      </c>
      <c r="D28" s="11" t="n"/>
    </row>
    <row r="29">
      <c r="A29" s="7" t="n"/>
      <c r="B29" s="7" t="n"/>
      <c r="C29" s="8">
        <f>IFERROR(SUMIFS(PRODUCCION!C:C,PRODUCCION!B:B,B29),0)</f>
        <v/>
      </c>
      <c r="D29" s="11" t="n"/>
    </row>
    <row r="30">
      <c r="A30" s="7" t="n"/>
      <c r="B30" s="7" t="n"/>
      <c r="C30" s="8">
        <f>IFERROR(SUMIFS(PRODUCCION!C:C,PRODUCCION!B:B,B30),0)</f>
        <v/>
      </c>
      <c r="D30" s="11" t="n"/>
    </row>
    <row r="31">
      <c r="A31" s="7" t="n"/>
      <c r="B31" s="7" t="n"/>
      <c r="C31" s="8">
        <f>IFERROR(SUMIFS(PRODUCCION!C:C,PRODUCCION!B:B,B31),0)</f>
        <v/>
      </c>
      <c r="D31" s="11" t="n"/>
    </row>
    <row r="32">
      <c r="A32" s="7" t="n"/>
      <c r="B32" s="7" t="n"/>
      <c r="C32" s="8">
        <f>IFERROR(SUMIFS(PRODUCCION!C:C,PRODUCCION!B:B,B32),0)</f>
        <v/>
      </c>
      <c r="D32" s="11" t="n"/>
    </row>
    <row r="33">
      <c r="A33" s="7" t="n"/>
      <c r="B33" s="7" t="n"/>
      <c r="C33" s="8">
        <f>IFERROR(SUMIFS(PRODUCCION!C:C,PRODUCCION!B:B,B33),0)</f>
        <v/>
      </c>
      <c r="D33" s="11" t="n"/>
    </row>
    <row r="34">
      <c r="A34" s="7" t="n"/>
      <c r="B34" s="7" t="n"/>
      <c r="C34" s="8">
        <f>IFERROR(SUMIFS(PRODUCCION!C:C,PRODUCCION!B:B,B34),0)</f>
        <v/>
      </c>
      <c r="D34" s="11" t="n"/>
    </row>
    <row r="35">
      <c r="A35" s="7" t="n"/>
      <c r="B35" s="7" t="n"/>
      <c r="C35" s="8">
        <f>IFERROR(SUMIFS(PRODUCCION!C:C,PRODUCCION!B:B,B35),0)</f>
        <v/>
      </c>
      <c r="D35" s="11" t="n"/>
    </row>
    <row r="36">
      <c r="A36" s="7" t="n"/>
      <c r="B36" s="7" t="n"/>
      <c r="C36" s="8">
        <f>IFERROR(SUMIFS(PRODUCCION!C:C,PRODUCCION!B:B,B36),0)</f>
        <v/>
      </c>
      <c r="D36" s="11" t="n"/>
    </row>
    <row r="37">
      <c r="A37" s="7" t="n"/>
      <c r="B37" s="7" t="n"/>
      <c r="C37" s="8">
        <f>IFERROR(SUMIFS(PRODUCCION!C:C,PRODUCCION!B:B,B37),0)</f>
        <v/>
      </c>
      <c r="D37" s="11" t="n"/>
    </row>
    <row r="38">
      <c r="A38" s="7" t="n"/>
      <c r="B38" s="7" t="n"/>
      <c r="C38" s="8">
        <f>IFERROR(SUMIFS(PRODUCCION!C:C,PRODUCCION!B:B,B38),0)</f>
        <v/>
      </c>
      <c r="D38" s="11" t="n"/>
    </row>
    <row r="39">
      <c r="A39" s="7" t="n"/>
      <c r="B39" s="7" t="n"/>
      <c r="C39" s="8">
        <f>IFERROR(SUMIFS(PRODUCCION!C:C,PRODUCCION!B:B,B39),0)</f>
        <v/>
      </c>
      <c r="D39" s="11" t="n"/>
    </row>
    <row r="40">
      <c r="A40" s="7" t="n"/>
      <c r="B40" s="7" t="n"/>
      <c r="C40" s="8">
        <f>IFERROR(SUMIFS(PRODUCCION!C:C,PRODUCCION!B:B,B40),0)</f>
        <v/>
      </c>
      <c r="D40" s="11" t="n"/>
    </row>
    <row r="41">
      <c r="A41" s="7" t="n"/>
      <c r="B41" s="7" t="n"/>
      <c r="C41" s="8">
        <f>IFERROR(SUMIFS(PRODUCCION!C:C,PRODUCCION!B:B,B41),0)</f>
        <v/>
      </c>
      <c r="D41" s="11" t="n"/>
    </row>
    <row r="42">
      <c r="A42" s="7" t="n"/>
      <c r="B42" s="7" t="n"/>
      <c r="C42" s="8">
        <f>IFERROR(SUMIFS(PRODUCCION!C:C,PRODUCCION!B:B,B42),0)</f>
        <v/>
      </c>
      <c r="D42" s="11" t="n"/>
    </row>
    <row r="43">
      <c r="A43" s="7" t="n"/>
      <c r="B43" s="7" t="n"/>
      <c r="C43" s="8">
        <f>IFERROR(SUMIFS(PRODUCCION!C:C,PRODUCCION!B:B,B43),0)</f>
        <v/>
      </c>
      <c r="D43" s="11" t="n"/>
    </row>
    <row r="44">
      <c r="A44" s="7" t="n"/>
      <c r="B44" s="7" t="n"/>
      <c r="C44" s="8">
        <f>IFERROR(SUMIFS(PRODUCCION!C:C,PRODUCCION!B:B,B44),0)</f>
        <v/>
      </c>
      <c r="D44" s="11" t="n"/>
    </row>
    <row r="45">
      <c r="A45" s="7" t="n"/>
      <c r="B45" s="7" t="n"/>
      <c r="C45" s="8">
        <f>IFERROR(SUMIFS(PRODUCCION!C:C,PRODUCCION!B:B,B45),0)</f>
        <v/>
      </c>
      <c r="D45" s="11" t="n"/>
    </row>
    <row r="46">
      <c r="A46" s="7" t="n"/>
      <c r="B46" s="7" t="n"/>
      <c r="C46" s="8">
        <f>IFERROR(SUMIFS(PRODUCCION!C:C,PRODUCCION!B:B,B46),0)</f>
        <v/>
      </c>
      <c r="D46" s="11" t="n"/>
    </row>
    <row r="47">
      <c r="A47" s="7" t="n"/>
      <c r="B47" s="7" t="n"/>
      <c r="C47" s="8">
        <f>IFERROR(SUMIFS(PRODUCCION!C:C,PRODUCCION!B:B,B47),0)</f>
        <v/>
      </c>
      <c r="D47" s="11" t="n"/>
    </row>
    <row r="48">
      <c r="A48" s="7" t="n"/>
      <c r="B48" s="7" t="n"/>
      <c r="C48" s="8">
        <f>IFERROR(SUMIFS(PRODUCCION!C:C,PRODUCCION!B:B,B48),0)</f>
        <v/>
      </c>
      <c r="D48" s="11" t="n"/>
    </row>
    <row r="49">
      <c r="A49" s="7" t="n"/>
      <c r="B49" s="7" t="n"/>
      <c r="C49" s="8">
        <f>IFERROR(SUMIFS(PRODUCCION!C:C,PRODUCCION!B:B,B49),0)</f>
        <v/>
      </c>
      <c r="D49" s="11" t="n"/>
    </row>
    <row r="50">
      <c r="A50" s="7" t="n"/>
      <c r="B50" s="7" t="n"/>
      <c r="C50" s="8">
        <f>IFERROR(SUMIFS(PRODUCCION!C:C,PRODUCCION!B:B,B50),0)</f>
        <v/>
      </c>
      <c r="D50" s="11" t="n"/>
    </row>
    <row r="51">
      <c r="A51" s="7" t="n"/>
      <c r="B51" s="7" t="n"/>
      <c r="C51" s="8">
        <f>IFERROR(SUMIFS(PRODUCCION!C:C,PRODUCCION!B:B,B51),0)</f>
        <v/>
      </c>
      <c r="D51" s="11" t="n"/>
    </row>
    <row r="52">
      <c r="A52" s="7" t="n"/>
      <c r="B52" s="7" t="n"/>
      <c r="C52" s="8">
        <f>IFERROR(SUMIFS(PRODUCCION!C:C,PRODUCCION!B:B,B52),0)</f>
        <v/>
      </c>
      <c r="D52" s="11" t="n"/>
    </row>
    <row r="53">
      <c r="A53" s="7" t="n"/>
      <c r="B53" s="7" t="n"/>
      <c r="C53" s="8">
        <f>IFERROR(SUMIFS(PRODUCCION!C:C,PRODUCCION!B:B,B53),0)</f>
        <v/>
      </c>
      <c r="D53" s="11" t="n"/>
    </row>
    <row r="54">
      <c r="A54" s="7" t="n"/>
      <c r="B54" s="7" t="n"/>
      <c r="C54" s="8">
        <f>IFERROR(SUMIFS(PRODUCCION!C:C,PRODUCCION!B:B,B54),0)</f>
        <v/>
      </c>
      <c r="D54" s="11" t="n"/>
    </row>
    <row r="55">
      <c r="A55" s="7" t="n"/>
      <c r="B55" s="7" t="n"/>
      <c r="C55" s="8">
        <f>IFERROR(SUMIFS(PRODUCCION!C:C,PRODUCCION!B:B,B55),0)</f>
        <v/>
      </c>
      <c r="D55" s="11" t="n"/>
    </row>
    <row r="56">
      <c r="A56" s="7" t="n"/>
      <c r="B56" s="7" t="n"/>
      <c r="C56" s="8">
        <f>IFERROR(SUMIFS(PRODUCCION!C:C,PRODUCCION!B:B,B56),0)</f>
        <v/>
      </c>
      <c r="D56" s="11" t="n"/>
    </row>
    <row r="57">
      <c r="A57" s="7" t="n"/>
      <c r="B57" s="7" t="n"/>
      <c r="C57" s="8">
        <f>IFERROR(SUMIFS(PRODUCCION!C:C,PRODUCCION!B:B,B57),0)</f>
        <v/>
      </c>
      <c r="D57" s="11" t="n"/>
    </row>
    <row r="58">
      <c r="A58" s="7" t="n"/>
      <c r="B58" s="7" t="n"/>
      <c r="C58" s="8">
        <f>IFERROR(SUMIFS(PRODUCCION!C:C,PRODUCCION!B:B,B58),0)</f>
        <v/>
      </c>
      <c r="D58" s="11" t="n"/>
    </row>
    <row r="59">
      <c r="A59" s="7" t="n"/>
      <c r="B59" s="7" t="n"/>
      <c r="C59" s="8">
        <f>IFERROR(SUMIFS(PRODUCCION!C:C,PRODUCCION!B:B,B59),0)</f>
        <v/>
      </c>
      <c r="D59" s="11" t="n"/>
    </row>
    <row r="60">
      <c r="A60" s="7" t="n"/>
      <c r="B60" s="7" t="n"/>
      <c r="C60" s="8">
        <f>IFERROR(SUMIFS(PRODUCCION!C:C,PRODUCCION!B:B,B60),0)</f>
        <v/>
      </c>
      <c r="D60" s="11" t="n"/>
    </row>
    <row r="61">
      <c r="A61" s="7" t="n"/>
      <c r="B61" s="7" t="n"/>
      <c r="C61" s="8">
        <f>IFERROR(SUMIFS(PRODUCCION!C:C,PRODUCCION!B:B,B61),0)</f>
        <v/>
      </c>
      <c r="D61" s="11" t="n"/>
    </row>
    <row r="62">
      <c r="A62" s="7" t="n"/>
      <c r="B62" s="7" t="n"/>
      <c r="C62" s="8">
        <f>IFERROR(SUMIFS(PRODUCCION!C:C,PRODUCCION!B:B,B62),0)</f>
        <v/>
      </c>
      <c r="D62" s="11" t="n"/>
    </row>
    <row r="63">
      <c r="A63" s="7" t="n"/>
      <c r="B63" s="7" t="n"/>
      <c r="C63" s="8">
        <f>IFERROR(SUMIFS(PRODUCCION!C:C,PRODUCCION!B:B,B63),0)</f>
        <v/>
      </c>
      <c r="D63" s="11" t="n"/>
    </row>
    <row r="64">
      <c r="A64" s="7" t="n"/>
      <c r="B64" s="7" t="n"/>
      <c r="C64" s="8">
        <f>IFERROR(SUMIFS(PRODUCCION!C:C,PRODUCCION!B:B,B64),0)</f>
        <v/>
      </c>
      <c r="D64" s="11" t="n"/>
    </row>
    <row r="65">
      <c r="A65" s="7" t="n"/>
      <c r="B65" s="7" t="n"/>
      <c r="C65" s="8">
        <f>IFERROR(SUMIFS(PRODUCCION!C:C,PRODUCCION!B:B,B65),0)</f>
        <v/>
      </c>
      <c r="D65" s="11" t="n"/>
    </row>
    <row r="66">
      <c r="A66" s="7" t="n"/>
      <c r="B66" s="7" t="n"/>
      <c r="C66" s="8">
        <f>IFERROR(SUMIFS(PRODUCCION!C:C,PRODUCCION!B:B,B66),0)</f>
        <v/>
      </c>
      <c r="D66" s="11" t="n"/>
    </row>
    <row r="67">
      <c r="A67" s="7" t="n"/>
      <c r="B67" s="7" t="n"/>
      <c r="C67" s="8">
        <f>IFERROR(SUMIFS(PRODUCCION!C:C,PRODUCCION!B:B,B67),0)</f>
        <v/>
      </c>
      <c r="D67" s="11" t="n"/>
    </row>
    <row r="68">
      <c r="A68" s="7" t="n"/>
      <c r="B68" s="7" t="n"/>
      <c r="C68" s="8">
        <f>IFERROR(SUMIFS(PRODUCCION!C:C,PRODUCCION!B:B,B68),0)</f>
        <v/>
      </c>
      <c r="D68" s="11" t="n"/>
    </row>
    <row r="69">
      <c r="A69" s="7" t="n"/>
      <c r="B69" s="7" t="n"/>
      <c r="C69" s="8">
        <f>IFERROR(SUMIFS(PRODUCCION!C:C,PRODUCCION!B:B,B69),0)</f>
        <v/>
      </c>
      <c r="D69" s="11" t="n"/>
    </row>
    <row r="70">
      <c r="A70" s="7" t="n"/>
      <c r="B70" s="7" t="n"/>
      <c r="C70" s="8">
        <f>IFERROR(SUMIFS(PRODUCCION!C:C,PRODUCCION!B:B,B70),0)</f>
        <v/>
      </c>
      <c r="D70" s="11" t="n"/>
    </row>
    <row r="71">
      <c r="A71" s="7" t="n"/>
      <c r="B71" s="7" t="n"/>
      <c r="C71" s="8">
        <f>IFERROR(SUMIFS(PRODUCCION!C:C,PRODUCCION!B:B,B71),0)</f>
        <v/>
      </c>
      <c r="D71" s="11" t="n"/>
    </row>
    <row r="72">
      <c r="A72" s="7" t="n"/>
      <c r="B72" s="7" t="n"/>
      <c r="C72" s="8">
        <f>IFERROR(SUMIFS(PRODUCCION!C:C,PRODUCCION!B:B,B72),0)</f>
        <v/>
      </c>
      <c r="D72" s="11" t="n"/>
    </row>
    <row r="73">
      <c r="A73" s="7" t="n"/>
      <c r="B73" s="7" t="n"/>
      <c r="C73" s="8">
        <f>IFERROR(SUMIFS(PRODUCCION!C:C,PRODUCCION!B:B,B73),0)</f>
        <v/>
      </c>
      <c r="D73" s="11" t="n"/>
    </row>
    <row r="74">
      <c r="A74" s="7" t="n"/>
      <c r="B74" s="7" t="n"/>
      <c r="C74" s="8">
        <f>IFERROR(SUMIFS(PRODUCCION!C:C,PRODUCCION!B:B,B74),0)</f>
        <v/>
      </c>
      <c r="D74" s="11" t="n"/>
    </row>
    <row r="75">
      <c r="A75" s="7" t="n"/>
      <c r="B75" s="7" t="n"/>
      <c r="C75" s="8">
        <f>IFERROR(SUMIFS(PRODUCCION!C:C,PRODUCCION!B:B,B75),0)</f>
        <v/>
      </c>
      <c r="D75" s="11" t="n"/>
    </row>
    <row r="76">
      <c r="A76" s="7" t="n"/>
      <c r="B76" s="7" t="n"/>
      <c r="C76" s="8">
        <f>IFERROR(SUMIFS(PRODUCCION!C:C,PRODUCCION!B:B,B76),0)</f>
        <v/>
      </c>
      <c r="D76" s="11" t="n"/>
    </row>
    <row r="77">
      <c r="A77" s="7" t="n"/>
      <c r="B77" s="7" t="n"/>
      <c r="C77" s="8">
        <f>IFERROR(SUMIFS(PRODUCCION!C:C,PRODUCCION!B:B,B77),0)</f>
        <v/>
      </c>
      <c r="D77" s="11" t="n"/>
    </row>
    <row r="78">
      <c r="A78" s="7" t="n"/>
      <c r="B78" s="7" t="n"/>
      <c r="C78" s="8">
        <f>IFERROR(SUMIFS(PRODUCCION!C:C,PRODUCCION!B:B,B78),0)</f>
        <v/>
      </c>
      <c r="D78" s="11" t="n"/>
    </row>
    <row r="79">
      <c r="A79" s="7" t="n"/>
      <c r="B79" s="7" t="n"/>
      <c r="C79" s="8">
        <f>IFERROR(SUMIFS(PRODUCCION!C:C,PRODUCCION!B:B,B79),0)</f>
        <v/>
      </c>
      <c r="D79" s="11" t="n"/>
    </row>
    <row r="80">
      <c r="A80" s="7" t="n"/>
      <c r="B80" s="7" t="n"/>
      <c r="C80" s="8">
        <f>IFERROR(SUMIFS(PRODUCCION!C:C,PRODUCCION!B:B,B80),0)</f>
        <v/>
      </c>
      <c r="D80" s="11" t="n"/>
    </row>
    <row r="81">
      <c r="A81" s="7" t="n"/>
      <c r="B81" s="7" t="n"/>
      <c r="C81" s="8">
        <f>IFERROR(SUMIFS(PRODUCCION!C:C,PRODUCCION!B:B,B81),0)</f>
        <v/>
      </c>
      <c r="D81" s="11" t="n"/>
    </row>
    <row r="82">
      <c r="A82" s="7" t="n"/>
      <c r="B82" s="7" t="n"/>
      <c r="C82" s="8">
        <f>IFERROR(SUMIFS(PRODUCCION!C:C,PRODUCCION!B:B,B82),0)</f>
        <v/>
      </c>
      <c r="D82" s="11" t="n"/>
    </row>
    <row r="83">
      <c r="A83" s="7" t="n"/>
      <c r="B83" s="7" t="n"/>
      <c r="C83" s="8">
        <f>IFERROR(SUMIFS(PRODUCCION!C:C,PRODUCCION!B:B,B83),0)</f>
        <v/>
      </c>
      <c r="D83" s="11" t="n"/>
    </row>
    <row r="84">
      <c r="A84" s="7" t="n"/>
      <c r="B84" s="7" t="n"/>
      <c r="C84" s="8">
        <f>IFERROR(SUMIFS(PRODUCCION!C:C,PRODUCCION!B:B,B84),0)</f>
        <v/>
      </c>
      <c r="D84" s="11" t="n"/>
    </row>
    <row r="85">
      <c r="A85" s="7" t="n"/>
      <c r="B85" s="7" t="n"/>
      <c r="C85" s="8">
        <f>IFERROR(SUMIFS(PRODUCCION!C:C,PRODUCCION!B:B,B85),0)</f>
        <v/>
      </c>
      <c r="D85" s="11" t="n"/>
    </row>
    <row r="86">
      <c r="A86" s="7" t="n"/>
      <c r="B86" s="7" t="n"/>
      <c r="C86" s="8">
        <f>IFERROR(SUMIFS(PRODUCCION!C:C,PRODUCCION!B:B,B86),0)</f>
        <v/>
      </c>
      <c r="D86" s="11" t="n"/>
    </row>
    <row r="87">
      <c r="A87" s="7" t="n"/>
      <c r="B87" s="7" t="n"/>
      <c r="C87" s="8">
        <f>IFERROR(SUMIFS(PRODUCCION!C:C,PRODUCCION!B:B,B87),0)</f>
        <v/>
      </c>
      <c r="D87" s="11" t="n"/>
    </row>
    <row r="88">
      <c r="A88" s="7" t="n"/>
      <c r="B88" s="7" t="n"/>
      <c r="C88" s="8">
        <f>IFERROR(SUMIFS(PRODUCCION!C:C,PRODUCCION!B:B,B88),0)</f>
        <v/>
      </c>
      <c r="D88" s="11" t="n"/>
    </row>
    <row r="89">
      <c r="A89" s="7" t="n"/>
      <c r="B89" s="7" t="n"/>
      <c r="C89" s="8">
        <f>IFERROR(SUMIFS(PRODUCCION!C:C,PRODUCCION!B:B,B89),0)</f>
        <v/>
      </c>
      <c r="D89" s="11" t="n"/>
    </row>
    <row r="90">
      <c r="A90" s="7" t="n"/>
      <c r="B90" s="7" t="n"/>
      <c r="C90" s="8">
        <f>IFERROR(SUMIFS(PRODUCCION!C:C,PRODUCCION!B:B,B90),0)</f>
        <v/>
      </c>
      <c r="D90" s="11" t="n"/>
    </row>
    <row r="91">
      <c r="A91" s="7" t="n"/>
      <c r="B91" s="7" t="n"/>
      <c r="C91" s="8">
        <f>IFERROR(SUMIFS(PRODUCCION!C:C,PRODUCCION!B:B,B91),0)</f>
        <v/>
      </c>
      <c r="D91" s="11" t="n"/>
    </row>
    <row r="92">
      <c r="A92" s="7" t="n"/>
      <c r="B92" s="7" t="n"/>
      <c r="C92" s="8">
        <f>IFERROR(SUMIFS(PRODUCCION!C:C,PRODUCCION!B:B,B92),0)</f>
        <v/>
      </c>
      <c r="D92" s="11" t="n"/>
    </row>
    <row r="93">
      <c r="A93" s="7" t="n"/>
      <c r="B93" s="7" t="n"/>
      <c r="C93" s="8">
        <f>IFERROR(SUMIFS(PRODUCCION!C:C,PRODUCCION!B:B,B93),0)</f>
        <v/>
      </c>
      <c r="D93" s="11" t="n"/>
    </row>
    <row r="94">
      <c r="A94" s="7" t="n"/>
      <c r="B94" s="7" t="n"/>
      <c r="C94" s="8">
        <f>IFERROR(SUMIFS(PRODUCCION!C:C,PRODUCCION!B:B,B94),0)</f>
        <v/>
      </c>
      <c r="D94" s="11" t="n"/>
    </row>
    <row r="95">
      <c r="A95" s="7" t="n"/>
      <c r="B95" s="7" t="n"/>
      <c r="C95" s="8">
        <f>IFERROR(SUMIFS(PRODUCCION!C:C,PRODUCCION!B:B,B95),0)</f>
        <v/>
      </c>
      <c r="D95" s="11" t="n"/>
    </row>
    <row r="96">
      <c r="A96" s="7" t="n"/>
      <c r="B96" s="7" t="n"/>
      <c r="C96" s="8">
        <f>IFERROR(SUMIFS(PRODUCCION!C:C,PRODUCCION!B:B,B96),0)</f>
        <v/>
      </c>
      <c r="D96" s="11" t="n"/>
    </row>
    <row r="97">
      <c r="A97" s="7" t="n"/>
      <c r="B97" s="7" t="n"/>
      <c r="C97" s="8">
        <f>IFERROR(SUMIFS(PRODUCCION!C:C,PRODUCCION!B:B,B97),0)</f>
        <v/>
      </c>
      <c r="D97" s="11" t="n"/>
    </row>
    <row r="98">
      <c r="A98" s="7" t="n"/>
      <c r="B98" s="7" t="n"/>
      <c r="C98" s="8">
        <f>IFERROR(SUMIFS(PRODUCCION!C:C,PRODUCCION!B:B,B98),0)</f>
        <v/>
      </c>
      <c r="D98" s="11" t="n"/>
    </row>
    <row r="99">
      <c r="A99" s="7" t="n"/>
      <c r="B99" s="7" t="n"/>
      <c r="C99" s="8">
        <f>IFERROR(SUMIFS(PRODUCCION!C:C,PRODUCCION!B:B,B99),0)</f>
        <v/>
      </c>
      <c r="D99" s="11" t="n"/>
    </row>
    <row r="100">
      <c r="A100" s="7" t="n"/>
      <c r="B100" s="7" t="n"/>
      <c r="C100" s="8">
        <f>IFERROR(SUMIFS(PRODUCCION!C:C,PRODUCCION!B:B,B100),0)</f>
        <v/>
      </c>
      <c r="D100" s="11" t="n"/>
    </row>
    <row r="101">
      <c r="A101" s="7" t="n"/>
      <c r="B101" s="7" t="n"/>
      <c r="C101" s="8">
        <f>IFERROR(SUMIFS(PRODUCCION!C:C,PRODUCCION!B:B,B101),0)</f>
        <v/>
      </c>
      <c r="D101" s="11" t="n"/>
    </row>
    <row r="102">
      <c r="A102" s="7" t="n"/>
      <c r="B102" s="7" t="n"/>
      <c r="C102" s="8">
        <f>IFERROR(SUMIFS(PRODUCCION!C:C,PRODUCCION!B:B,B102),0)</f>
        <v/>
      </c>
      <c r="D102" s="11" t="n"/>
    </row>
    <row r="103">
      <c r="A103" s="7" t="n"/>
      <c r="B103" s="7" t="n"/>
      <c r="C103" s="8">
        <f>IFERROR(SUMIFS(PRODUCCION!C:C,PRODUCCION!B:B,B103),0)</f>
        <v/>
      </c>
      <c r="D103" s="11" t="n"/>
    </row>
    <row r="104">
      <c r="A104" s="7" t="n"/>
      <c r="B104" s="7" t="n"/>
      <c r="C104" s="8">
        <f>IFERROR(SUMIFS(PRODUCCION!C:C,PRODUCCION!B:B,B104),0)</f>
        <v/>
      </c>
      <c r="D104" s="11" t="n"/>
    </row>
  </sheetData>
  <mergeCells count="2">
    <mergeCell ref="A1:D1"/>
    <mergeCell ref="A2:D2"/>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504"/>
  <sheetViews>
    <sheetView zoomScaleNormal="100" workbookViewId="0">
      <pane ySplit="4" topLeftCell="A5" activePane="bottomLeft" state="frozen"/>
      <selection pane="bottomLeft" activeCell="K101" sqref="K101"/>
    </sheetView>
  </sheetViews>
  <sheetFormatPr baseColWidth="10" defaultColWidth="8.7109375" defaultRowHeight="15"/>
  <cols>
    <col width="35" customWidth="1" min="1" max="2"/>
    <col width="15" customWidth="1" min="3" max="3"/>
    <col width="12" customWidth="1" min="4" max="4"/>
    <col width="14" customWidth="1" min="5" max="5"/>
    <col width="13" customWidth="1" min="6" max="6"/>
  </cols>
  <sheetData>
    <row r="1" ht="27.75" customHeight="1">
      <c r="A1" s="14" t="inlineStr">
        <is>
          <t>📋 RECETAS - qué insumos lleva cada producto</t>
        </is>
      </c>
    </row>
    <row r="2">
      <c r="A2" s="15" t="inlineStr">
        <is>
          <t>Una fila por cada insumo del producto. Ejemplo: Libreta A5 40 hojas usa 40 hojas de bond + 2 tapas de cartón + 1 argolla.</t>
        </is>
      </c>
    </row>
    <row r="4" ht="31.5" customHeight="1">
      <c r="A4" s="4" t="inlineStr">
        <is>
          <t>Producto</t>
        </is>
      </c>
      <c r="B4" s="4" t="inlineStr">
        <is>
          <t>Insumo</t>
        </is>
      </c>
      <c r="C4" s="4" t="inlineStr">
        <is>
          <t>Cantidad
por 1 producto</t>
        </is>
      </c>
      <c r="D4" s="4" t="inlineStr">
        <is>
          <t>Total
producido</t>
        </is>
      </c>
      <c r="E4" s="4" t="inlineStr">
        <is>
          <t>Total
consumido</t>
        </is>
      </c>
      <c r="F4" s="4" t="inlineStr">
        <is>
          <t>Costo en el
producto</t>
        </is>
      </c>
    </row>
    <row r="5">
      <c r="A5" s="7" t="inlineStr">
        <is>
          <t>Libreta A6 - 50 Hojas</t>
        </is>
      </c>
      <c r="B5" s="7" t="inlineStr">
        <is>
          <t>Papel foto adhesivo brillo</t>
        </is>
      </c>
      <c r="C5" s="7" t="n">
        <v>1</v>
      </c>
      <c r="D5" s="8">
        <f>IF(A5="","",IFERROR(SUMIFS(PRODUCCION!C:C,PRODUCCION!B:B,A5),0))</f>
        <v/>
      </c>
      <c r="E5" s="8">
        <f>IFERROR(C5*D5,0)</f>
        <v/>
      </c>
      <c r="F5" s="10">
        <f>IF(OR($A5="",$B5=""),"",IFERROR($C5*INDEX(INSUMOS!$K$5:$K$67,MATCH($B5,INSUMOS!$B$5:$B$67,0)),0))</f>
        <v/>
      </c>
    </row>
    <row r="6">
      <c r="A6" s="7" t="inlineStr">
        <is>
          <t>Libreta A6 - 50 Hojas</t>
        </is>
      </c>
      <c r="B6" s="7" t="inlineStr">
        <is>
          <t>Laminado en frío A4 matte</t>
        </is>
      </c>
      <c r="C6" s="7" t="n">
        <v>1</v>
      </c>
      <c r="D6" s="8">
        <f>IF(A6="","",IFERROR(SUMIFS(PRODUCCION!C:C,PRODUCCION!B:B,A6),0))</f>
        <v/>
      </c>
      <c r="E6" s="8">
        <f>IFERROR(C6*D6,0)</f>
        <v/>
      </c>
      <c r="F6" s="10">
        <f>IF(OR($A6="",$B6=""),"",IFERROR($C6*INDEX(INSUMOS!$K$5:$K$67,MATCH($B6,INSUMOS!$B$5:$B$67,0)),0))</f>
        <v/>
      </c>
    </row>
    <row r="7">
      <c r="A7" s="7" t="inlineStr">
        <is>
          <t>Libreta A6 - 50 Hojas</t>
        </is>
      </c>
      <c r="B7" s="7" t="inlineStr">
        <is>
          <t>Papel foto adhesivo matte</t>
        </is>
      </c>
      <c r="C7" s="7" t="n">
        <v>0.5</v>
      </c>
      <c r="D7" s="8">
        <f>IF(A7="","",IFERROR(SUMIFS(PRODUCCION!C:C,PRODUCCION!B:B,A7),0))</f>
        <v/>
      </c>
      <c r="E7" s="8">
        <f>IFERROR(C7*D7,0)</f>
        <v/>
      </c>
      <c r="F7" s="10">
        <f>IF(OR($A7="",$B7=""),"",IFERROR($C7*INDEX(INSUMOS!$K$5:$K$67,MATCH($B7,INSUMOS!$B$5:$B$67,0)),0))</f>
        <v/>
      </c>
    </row>
    <row r="8">
      <c r="A8" s="7" t="inlineStr">
        <is>
          <t>Libreta A6 - 50 Hojas</t>
        </is>
      </c>
      <c r="B8" s="7" t="inlineStr">
        <is>
          <t>Cartón piedra A6</t>
        </is>
      </c>
      <c r="C8" s="7" t="n">
        <v>2</v>
      </c>
      <c r="D8" s="8">
        <f>IF(A8="","",IFERROR(SUMIFS(PRODUCCION!C:C,PRODUCCION!B:B,A8),0))</f>
        <v/>
      </c>
      <c r="E8" s="8">
        <f>IFERROR(C8*D8,0)</f>
        <v/>
      </c>
      <c r="F8" s="10">
        <f>IF(OR($A8="",$B8=""),"",IFERROR($C8*INDEX(INSUMOS!$K$5:$K$67,MATCH($B8,INSUMOS!$B$5:$B$67,0)),0))</f>
        <v/>
      </c>
    </row>
    <row r="9">
      <c r="A9" s="7" t="inlineStr">
        <is>
          <t>Libreta A6 - 50 Hojas</t>
        </is>
      </c>
      <c r="B9" s="7" t="inlineStr">
        <is>
          <t>Papel bond A6 105 gr</t>
        </is>
      </c>
      <c r="C9" s="7" t="n">
        <v>50</v>
      </c>
      <c r="D9" s="8">
        <f>IF(A9="","",IFERROR(SUMIFS(PRODUCCION!C:C,PRODUCCION!B:B,A9),0))</f>
        <v/>
      </c>
      <c r="E9" s="8">
        <f>IFERROR(C9*D9,0)</f>
        <v/>
      </c>
      <c r="F9" s="10">
        <f>IF(OR($A9="",$B9=""),"",IFERROR($C9*INDEX(INSUMOS!$K$5:$K$67,MATCH($B9,INSUMOS!$B$5:$B$67,0)),0))</f>
        <v/>
      </c>
    </row>
    <row r="10">
      <c r="A10" s="7" t="inlineStr">
        <is>
          <t>Libreta A6 - 50 Hojas</t>
        </is>
      </c>
      <c r="B10" s="7" t="inlineStr">
        <is>
          <t>Ojetillos</t>
        </is>
      </c>
      <c r="C10" s="7" t="n">
        <v>2</v>
      </c>
      <c r="D10" s="8">
        <f>IF(A10="","",IFERROR(SUMIFS(PRODUCCION!C:C,PRODUCCION!B:B,A10),0))</f>
        <v/>
      </c>
      <c r="E10" s="8">
        <f>IFERROR(C10*D10,0)</f>
        <v/>
      </c>
      <c r="F10" s="10">
        <f>IF(OR($A10="",$B10=""),"",IFERROR($C10*INDEX(INSUMOS!$K$5:$K$67,MATCH($B10,INSUMOS!$B$5:$B$67,0)),0))</f>
        <v/>
      </c>
    </row>
    <row r="11">
      <c r="A11" s="7" t="inlineStr">
        <is>
          <t>Libreta A6 - 50 Hojas</t>
        </is>
      </c>
      <c r="B11" s="7" t="inlineStr">
        <is>
          <t>Elásticos</t>
        </is>
      </c>
      <c r="C11" s="7" t="n">
        <v>0.5</v>
      </c>
      <c r="D11" s="8">
        <f>IF(A11="","",IFERROR(SUMIFS(PRODUCCION!C:C,PRODUCCION!B:B,A11),0))</f>
        <v/>
      </c>
      <c r="E11" s="8">
        <f>IFERROR(C11*D11,0)</f>
        <v/>
      </c>
      <c r="F11" s="10">
        <f>IF(OR($A11="",$B11=""),"",IFERROR($C11*INDEX(INSUMOS!$K$5:$K$67,MATCH($B11,INSUMOS!$B$5:$B$67,0)),0))</f>
        <v/>
      </c>
    </row>
    <row r="12">
      <c r="A12" s="7" t="inlineStr">
        <is>
          <t>Libreta A6 - 50 Hojas</t>
        </is>
      </c>
      <c r="B12" s="7" t="inlineStr">
        <is>
          <t>Anillos 16 mm (5/8")</t>
        </is>
      </c>
      <c r="C12" s="7" t="n">
        <v>7</v>
      </c>
      <c r="D12" s="8">
        <f>IF(A12="","",IFERROR(SUMIFS(PRODUCCION!C:C,PRODUCCION!B:B,A12),0))</f>
        <v/>
      </c>
      <c r="E12" s="8">
        <f>IFERROR(C12*D12,0)</f>
        <v/>
      </c>
      <c r="F12" s="10">
        <f>IF(OR($A12="",$B12=""),"",IFERROR($C12*INDEX(INSUMOS!$K$5:$K$67,MATCH($B12,INSUMOS!$B$5:$B$67,0)),0))</f>
        <v/>
      </c>
    </row>
    <row r="13">
      <c r="A13" s="7" t="inlineStr">
        <is>
          <t>Libreta A6 - Solapa</t>
        </is>
      </c>
      <c r="B13" s="7" t="inlineStr">
        <is>
          <t>Papel foto adhesivo brillo</t>
        </is>
      </c>
      <c r="C13" s="7" t="n">
        <v>2.2</v>
      </c>
      <c r="D13" s="8">
        <f>IF(A13="","",IFERROR(SUMIFS(PRODUCCION!C:C,PRODUCCION!B:B,A13),0))</f>
        <v/>
      </c>
      <c r="E13" s="8">
        <f>IFERROR(C13*D13,0)</f>
        <v/>
      </c>
      <c r="F13" s="10">
        <f>IF(OR($A13="",$B13=""),"",IFERROR($C13*INDEX(INSUMOS!$K$5:$K$67,MATCH($B13,INSUMOS!$B$5:$B$67,0)),0))</f>
        <v/>
      </c>
    </row>
    <row r="14">
      <c r="A14" s="7" t="inlineStr">
        <is>
          <t>Libreta A6 - Solapa</t>
        </is>
      </c>
      <c r="B14" s="7" t="inlineStr">
        <is>
          <t>Laminado en frío A4 matte</t>
        </is>
      </c>
      <c r="C14" s="7" t="n">
        <v>2.2</v>
      </c>
      <c r="D14" s="8">
        <f>IF(A14="","",IFERROR(SUMIFS(PRODUCCION!C:C,PRODUCCION!B:B,A14),0))</f>
        <v/>
      </c>
      <c r="E14" s="8">
        <f>IFERROR(C14*D14,0)</f>
        <v/>
      </c>
      <c r="F14" s="10">
        <f>IF(OR($A14="",$B14=""),"",IFERROR($C14*INDEX(INSUMOS!$K$5:$K$67,MATCH($B14,INSUMOS!$B$5:$B$67,0)),0))</f>
        <v/>
      </c>
    </row>
    <row r="15">
      <c r="A15" s="7" t="inlineStr">
        <is>
          <t>Libreta A6 - Solapa</t>
        </is>
      </c>
      <c r="B15" s="7" t="inlineStr">
        <is>
          <t>Cartón piedra A6</t>
        </is>
      </c>
      <c r="C15" s="7" t="n">
        <v>2.4</v>
      </c>
      <c r="D15" s="8">
        <f>IF(A15="","",IFERROR(SUMIFS(PRODUCCION!C:C,PRODUCCION!B:B,A15),0))</f>
        <v/>
      </c>
      <c r="E15" s="8">
        <f>IFERROR(C15*D15,0)</f>
        <v/>
      </c>
      <c r="F15" s="10">
        <f>IF(OR($A15="",$B15=""),"",IFERROR($C15*INDEX(INSUMOS!$K$5:$K$67,MATCH($B15,INSUMOS!$B$5:$B$67,0)),0))</f>
        <v/>
      </c>
    </row>
    <row r="16">
      <c r="A16" s="7" t="inlineStr">
        <is>
          <t>Libreta A6 - Solapa</t>
        </is>
      </c>
      <c r="B16" s="7" t="inlineStr">
        <is>
          <t>Velcro adhesivo</t>
        </is>
      </c>
      <c r="C16" s="7" t="n">
        <v>2</v>
      </c>
      <c r="D16" s="8">
        <f>IF(A16="","",IFERROR(SUMIFS(PRODUCCION!C:C,PRODUCCION!B:B,A16),0))</f>
        <v/>
      </c>
      <c r="E16" s="8">
        <f>IFERROR(C16*D16,0)</f>
        <v/>
      </c>
      <c r="F16" s="10">
        <f>IF(OR($A16="",$B16=""),"",IFERROR($C16*INDEX(INSUMOS!$K$5:$K$67,MATCH($B16,INSUMOS!$B$5:$B$67,0)),0))</f>
        <v/>
      </c>
    </row>
    <row r="17">
      <c r="A17" s="7" t="inlineStr">
        <is>
          <t>Libreta A6 - Solapa</t>
        </is>
      </c>
      <c r="B17" s="7" t="inlineStr">
        <is>
          <t>Papel bond A6 105 gr</t>
        </is>
      </c>
      <c r="C17" s="7" t="n">
        <v>50</v>
      </c>
      <c r="D17" s="8">
        <f>IF(A17="","",IFERROR(SUMIFS(PRODUCCION!C:C,PRODUCCION!B:B,A17),0))</f>
        <v/>
      </c>
      <c r="E17" s="8">
        <f>IFERROR(C17*D17,0)</f>
        <v/>
      </c>
      <c r="F17" s="10">
        <f>IF(OR($A17="",$B17=""),"",IFERROR($C17*INDEX(INSUMOS!$K$5:$K$67,MATCH($B17,INSUMOS!$B$5:$B$67,0)),0))</f>
        <v/>
      </c>
    </row>
    <row r="18">
      <c r="A18" s="7" t="inlineStr">
        <is>
          <t>Libreta A6 - Solapa</t>
        </is>
      </c>
      <c r="B18" s="7" t="inlineStr">
        <is>
          <t>Anillos 16 mm (5/8")</t>
        </is>
      </c>
      <c r="C18" s="7" t="n">
        <v>7</v>
      </c>
      <c r="D18" s="8">
        <f>IF(A18="","",IFERROR(SUMIFS(PRODUCCION!C:C,PRODUCCION!B:B,A18),0))</f>
        <v/>
      </c>
      <c r="E18" s="8">
        <f>IFERROR(C18*D18,0)</f>
        <v/>
      </c>
      <c r="F18" s="10">
        <f>IF(OR($A18="",$B18=""),"",IFERROR($C18*INDEX(INSUMOS!$K$5:$K$67,MATCH($B18,INSUMOS!$B$5:$B$67,0)),0))</f>
        <v/>
      </c>
    </row>
    <row r="19">
      <c r="A19" s="7" t="inlineStr">
        <is>
          <t>A5 discos - 100 Hojas</t>
        </is>
      </c>
      <c r="B19" s="7" t="inlineStr">
        <is>
          <t>Papel foto A4</t>
        </is>
      </c>
      <c r="C19" s="7" t="n">
        <v>2</v>
      </c>
      <c r="D19" s="8">
        <f>IF(A19="","",IFERROR(SUMIFS(PRODUCCION!C:C,PRODUCCION!B:B,A19),0))</f>
        <v/>
      </c>
      <c r="E19" s="8">
        <f>IFERROR(C19*D19,0)</f>
        <v/>
      </c>
      <c r="F19" s="10">
        <f>IF(OR($A19="",$B19=""),"",IFERROR($C19*INDEX(INSUMOS!$K$5:$K$67,MATCH($B19,INSUMOS!$B$5:$B$67,0)),0))</f>
        <v/>
      </c>
    </row>
    <row r="20">
      <c r="A20" s="7" t="inlineStr">
        <is>
          <t>A5 discos - 100 Hojas</t>
        </is>
      </c>
      <c r="B20" s="7" t="inlineStr">
        <is>
          <t>Papel bond A5 105 gr</t>
        </is>
      </c>
      <c r="C20" s="7" t="n">
        <v>100</v>
      </c>
      <c r="D20" s="8">
        <f>IF(A20="","",IFERROR(SUMIFS(PRODUCCION!C:C,PRODUCCION!B:B,A20),0))</f>
        <v/>
      </c>
      <c r="E20" s="8">
        <f>IFERROR(C20*D20,0)</f>
        <v/>
      </c>
      <c r="F20" s="10">
        <f>IF(OR($A20="",$B20=""),"",IFERROR($C20*INDEX(INSUMOS!$K$5:$K$67,MATCH($B20,INSUMOS!$B$5:$B$67,0)),0))</f>
        <v/>
      </c>
    </row>
    <row r="21">
      <c r="A21" s="7" t="inlineStr">
        <is>
          <t>A5 discos - 100 Hojas</t>
        </is>
      </c>
      <c r="B21" s="7" t="inlineStr">
        <is>
          <t>Discos 28 mm</t>
        </is>
      </c>
      <c r="C21" s="7" t="n">
        <v>8</v>
      </c>
      <c r="D21" s="8">
        <f>IF(A21="","",IFERROR(SUMIFS(PRODUCCION!C:C,PRODUCCION!B:B,A21),0))</f>
        <v/>
      </c>
      <c r="E21" s="8">
        <f>IFERROR(C21*D21,0)</f>
        <v/>
      </c>
      <c r="F21" s="10">
        <f>IF(OR($A21="",$B21=""),"",IFERROR($C21*INDEX(INSUMOS!$K$5:$K$67,MATCH($B21,INSUMOS!$B$5:$B$67,0)),0))</f>
        <v/>
      </c>
    </row>
    <row r="22">
      <c r="A22" s="7" t="inlineStr">
        <is>
          <t>A5 discos - 100 Hojas</t>
        </is>
      </c>
      <c r="B22" s="7" t="inlineStr">
        <is>
          <t>Mica termolaminado A4</t>
        </is>
      </c>
      <c r="C22" s="7" t="n">
        <v>1</v>
      </c>
      <c r="D22" s="8">
        <f>IF(A22="","",IFERROR(SUMIFS(PRODUCCION!C:C,PRODUCCION!B:B,A22),0))</f>
        <v/>
      </c>
      <c r="E22" s="8">
        <f>IFERROR(C22*D22,0)</f>
        <v/>
      </c>
      <c r="F22" s="10">
        <f>IF(OR($A22="",$B22=""),"",IFERROR($C22*INDEX(INSUMOS!$K$5:$K$67,MATCH($B22,INSUMOS!$B$5:$B$67,0)),0))</f>
        <v/>
      </c>
    </row>
    <row r="23">
      <c r="A23" s="7" t="inlineStr">
        <is>
          <t>A5 discos - 150 Hojas</t>
        </is>
      </c>
      <c r="B23" s="7" t="inlineStr">
        <is>
          <t>Papel foto A4</t>
        </is>
      </c>
      <c r="C23" s="7" t="n">
        <v>2</v>
      </c>
      <c r="D23" s="8">
        <f>IF(A23="","",IFERROR(SUMIFS(PRODUCCION!C:C,PRODUCCION!B:B,A23),0))</f>
        <v/>
      </c>
      <c r="E23" s="8">
        <f>IFERROR(C23*D23,0)</f>
        <v/>
      </c>
      <c r="F23" s="10">
        <f>IF(OR($A23="",$B23=""),"",IFERROR($C23*INDEX(INSUMOS!$K$5:$K$67,MATCH($B23,INSUMOS!$B$5:$B$67,0)),0))</f>
        <v/>
      </c>
    </row>
    <row r="24">
      <c r="A24" s="7" t="inlineStr">
        <is>
          <t>A5 discos - 150 Hojas</t>
        </is>
      </c>
      <c r="B24" s="7" t="inlineStr">
        <is>
          <t>Papel bond A5 105 gr</t>
        </is>
      </c>
      <c r="C24" s="7" t="n">
        <v>150</v>
      </c>
      <c r="D24" s="8">
        <f>IF(A24="","",IFERROR(SUMIFS(PRODUCCION!C:C,PRODUCCION!B:B,A24),0))</f>
        <v/>
      </c>
      <c r="E24" s="8">
        <f>IFERROR(C24*D24,0)</f>
        <v/>
      </c>
      <c r="F24" s="10">
        <f>IF(OR($A24="",$B24=""),"",IFERROR($C24*INDEX(INSUMOS!$K$5:$K$67,MATCH($B24,INSUMOS!$B$5:$B$67,0)),0))</f>
        <v/>
      </c>
    </row>
    <row r="25">
      <c r="A25" s="7" t="inlineStr">
        <is>
          <t>A5 discos - 150 Hojas</t>
        </is>
      </c>
      <c r="B25" s="7" t="inlineStr">
        <is>
          <t>Discos 28 mm</t>
        </is>
      </c>
      <c r="C25" s="7" t="n">
        <v>8</v>
      </c>
      <c r="D25" s="8">
        <f>IF(A25="","",IFERROR(SUMIFS(PRODUCCION!C:C,PRODUCCION!B:B,A25),0))</f>
        <v/>
      </c>
      <c r="E25" s="8">
        <f>IFERROR(C25*D25,0)</f>
        <v/>
      </c>
      <c r="F25" s="10">
        <f>IF(OR($A25="",$B25=""),"",IFERROR($C25*INDEX(INSUMOS!$K$5:$K$67,MATCH($B25,INSUMOS!$B$5:$B$67,0)),0))</f>
        <v/>
      </c>
    </row>
    <row r="26">
      <c r="A26" s="7" t="inlineStr">
        <is>
          <t>A5 discos - 150 Hojas</t>
        </is>
      </c>
      <c r="B26" s="7" t="inlineStr">
        <is>
          <t>Mica termolaminado A4</t>
        </is>
      </c>
      <c r="C26" s="7" t="n">
        <v>1</v>
      </c>
      <c r="D26" s="8">
        <f>IF(A26="","",IFERROR(SUMIFS(PRODUCCION!C:C,PRODUCCION!B:B,A26),0))</f>
        <v/>
      </c>
      <c r="E26" s="8">
        <f>IFERROR(C26*D26,0)</f>
        <v/>
      </c>
      <c r="F26" s="10">
        <f>IF(OR($A26="",$B26=""),"",IFERROR($C26*INDEX(INSUMOS!$K$5:$K$67,MATCH($B26,INSUMOS!$B$5:$B$67,0)),0))</f>
        <v/>
      </c>
    </row>
    <row r="27">
      <c r="A27" s="7" t="inlineStr">
        <is>
          <t>B5 discos - 100 Hojas</t>
        </is>
      </c>
      <c r="B27" s="7" t="inlineStr">
        <is>
          <t>Papel foto A4</t>
        </is>
      </c>
      <c r="C27" s="7" t="n">
        <v>2</v>
      </c>
      <c r="D27" s="8">
        <f>IF(A27="","",IFERROR(SUMIFS(PRODUCCION!C:C,PRODUCCION!B:B,A27),0))</f>
        <v/>
      </c>
      <c r="E27" s="8">
        <f>IFERROR(C27*D27,0)</f>
        <v/>
      </c>
      <c r="F27" s="10">
        <f>IF(OR($A27="",$B27=""),"",IFERROR($C27*INDEX(INSUMOS!$K$5:$K$67,MATCH($B27,INSUMOS!$B$5:$B$67,0)),0))</f>
        <v/>
      </c>
    </row>
    <row r="28">
      <c r="A28" s="7" t="inlineStr">
        <is>
          <t>B5 discos - 100 Hojas</t>
        </is>
      </c>
      <c r="B28" s="7" t="inlineStr">
        <is>
          <t>Papel bond B5 105 gr</t>
        </is>
      </c>
      <c r="C28" s="7" t="n">
        <v>100</v>
      </c>
      <c r="D28" s="8">
        <f>IF(A28="","",IFERROR(SUMIFS(PRODUCCION!C:C,PRODUCCION!B:B,A28),0))</f>
        <v/>
      </c>
      <c r="E28" s="8">
        <f>IFERROR(C28*D28,0)</f>
        <v/>
      </c>
      <c r="F28" s="10">
        <f>IF(OR($A28="",$B28=""),"",IFERROR($C28*INDEX(INSUMOS!$K$5:$K$67,MATCH($B28,INSUMOS!$B$5:$B$67,0)),0))</f>
        <v/>
      </c>
    </row>
    <row r="29">
      <c r="A29" s="7" t="inlineStr">
        <is>
          <t>B5 discos - 100 Hojas</t>
        </is>
      </c>
      <c r="B29" s="7" t="inlineStr">
        <is>
          <t>Discos 28 mm</t>
        </is>
      </c>
      <c r="C29" s="7" t="n">
        <v>10</v>
      </c>
      <c r="D29" s="8">
        <f>IF(A29="","",IFERROR(SUMIFS(PRODUCCION!C:C,PRODUCCION!B:B,A29),0))</f>
        <v/>
      </c>
      <c r="E29" s="8">
        <f>IFERROR(C29*D29,0)</f>
        <v/>
      </c>
      <c r="F29" s="10">
        <f>IF(OR($A29="",$B29=""),"",IFERROR($C29*INDEX(INSUMOS!$K$5:$K$67,MATCH($B29,INSUMOS!$B$5:$B$67,0)),0))</f>
        <v/>
      </c>
    </row>
    <row r="30">
      <c r="A30" s="7" t="inlineStr">
        <is>
          <t>B5 discos - 100 Hojas</t>
        </is>
      </c>
      <c r="B30" s="7" t="inlineStr">
        <is>
          <t>Mica termolaminado A4</t>
        </is>
      </c>
      <c r="C30" s="7" t="n">
        <v>2</v>
      </c>
      <c r="D30" s="8">
        <f>IF(A30="","",IFERROR(SUMIFS(PRODUCCION!C:C,PRODUCCION!B:B,A30),0))</f>
        <v/>
      </c>
      <c r="E30" s="8">
        <f>IFERROR(C30*D30,0)</f>
        <v/>
      </c>
      <c r="F30" s="10">
        <f>IF(OR($A30="",$B30=""),"",IFERROR($C30*INDEX(INSUMOS!$K$5:$K$67,MATCH($B30,INSUMOS!$B$5:$B$67,0)),0))</f>
        <v/>
      </c>
    </row>
    <row r="31">
      <c r="A31" s="7" t="inlineStr">
        <is>
          <t>B5 discos - 150 Hojas</t>
        </is>
      </c>
      <c r="B31" s="7" t="inlineStr">
        <is>
          <t>Papel foto A4</t>
        </is>
      </c>
      <c r="C31" s="7" t="n">
        <v>2</v>
      </c>
      <c r="D31" s="8">
        <f>IF(A31="","",IFERROR(SUMIFS(PRODUCCION!C:C,PRODUCCION!B:B,A31),0))</f>
        <v/>
      </c>
      <c r="E31" s="8">
        <f>IFERROR(C31*D31,0)</f>
        <v/>
      </c>
      <c r="F31" s="10">
        <f>IF(OR($A31="",$B31=""),"",IFERROR($C31*INDEX(INSUMOS!$K$5:$K$67,MATCH($B31,INSUMOS!$B$5:$B$67,0)),0))</f>
        <v/>
      </c>
    </row>
    <row r="32">
      <c r="A32" s="7" t="inlineStr">
        <is>
          <t>B5 discos - 150 Hojas</t>
        </is>
      </c>
      <c r="B32" s="7" t="inlineStr">
        <is>
          <t>Papel bond B5 105 gr</t>
        </is>
      </c>
      <c r="C32" s="7" t="n">
        <v>150</v>
      </c>
      <c r="D32" s="8">
        <f>IF(A32="","",IFERROR(SUMIFS(PRODUCCION!C:C,PRODUCCION!B:B,A32),0))</f>
        <v/>
      </c>
      <c r="E32" s="8">
        <f>IFERROR(C32*D32,0)</f>
        <v/>
      </c>
      <c r="F32" s="10">
        <f>IF(OR($A32="",$B32=""),"",IFERROR($C32*INDEX(INSUMOS!$K$5:$K$67,MATCH($B32,INSUMOS!$B$5:$B$67,0)),0))</f>
        <v/>
      </c>
    </row>
    <row r="33">
      <c r="A33" s="7" t="inlineStr">
        <is>
          <t>B5 discos - 150 Hojas</t>
        </is>
      </c>
      <c r="B33" s="7" t="inlineStr">
        <is>
          <t>Discos 28 mm</t>
        </is>
      </c>
      <c r="C33" s="7" t="n">
        <v>10</v>
      </c>
      <c r="D33" s="8">
        <f>IF(A33="","",IFERROR(SUMIFS(PRODUCCION!C:C,PRODUCCION!B:B,A33),0))</f>
        <v/>
      </c>
      <c r="E33" s="8">
        <f>IFERROR(C33*D33,0)</f>
        <v/>
      </c>
      <c r="F33" s="10">
        <f>IF(OR($A33="",$B33=""),"",IFERROR($C33*INDEX(INSUMOS!$K$5:$K$67,MATCH($B33,INSUMOS!$B$5:$B$67,0)),0))</f>
        <v/>
      </c>
    </row>
    <row r="34">
      <c r="A34" s="7" t="inlineStr">
        <is>
          <t>B5 discos - 150 Hojas</t>
        </is>
      </c>
      <c r="B34" s="7" t="inlineStr">
        <is>
          <t>Mica termolaminado A4</t>
        </is>
      </c>
      <c r="C34" s="7" t="n">
        <v>1</v>
      </c>
      <c r="D34" s="8">
        <f>IF(A34="","",IFERROR(SUMIFS(PRODUCCION!C:C,PRODUCCION!B:B,A34),0))</f>
        <v/>
      </c>
      <c r="E34" s="8">
        <f>IFERROR(C34*D34,0)</f>
        <v/>
      </c>
      <c r="F34" s="10">
        <f>IF(OR($A34="",$B34=""),"",IFERROR($C34*INDEX(INSUMOS!$K$5:$K$67,MATCH($B34,INSUMOS!$B$5:$B$67,0)),0))</f>
        <v/>
      </c>
    </row>
    <row r="35">
      <c r="A35" s="7" t="inlineStr">
        <is>
          <t>A5 Espiral blando - 80 hojas</t>
        </is>
      </c>
      <c r="B35" s="7" t="inlineStr">
        <is>
          <t>Papel foto A4</t>
        </is>
      </c>
      <c r="C35" s="7" t="n">
        <v>1</v>
      </c>
      <c r="D35" s="8">
        <f>IF(A35="","",IFERROR(SUMIFS(PRODUCCION!C:C,PRODUCCION!B:B,A35),0))</f>
        <v/>
      </c>
      <c r="E35" s="8">
        <f>IFERROR(C35*D35,0)</f>
        <v/>
      </c>
      <c r="F35" s="10">
        <f>IF(OR($A35="",$B35=""),"",IFERROR($C35*INDEX(INSUMOS!$K$5:$K$67,MATCH($B35,INSUMOS!$B$5:$B$67,0)),0))</f>
        <v/>
      </c>
    </row>
    <row r="36">
      <c r="A36" s="7" t="inlineStr">
        <is>
          <t>A5 Espiral blando - 80 hojas</t>
        </is>
      </c>
      <c r="B36" s="7" t="inlineStr">
        <is>
          <t>Papel bond A5 105 gr</t>
        </is>
      </c>
      <c r="C36" s="7" t="n">
        <v>80</v>
      </c>
      <c r="D36" s="8">
        <f>IF(A36="","",IFERROR(SUMIFS(PRODUCCION!C:C,PRODUCCION!B:B,A36),0))</f>
        <v/>
      </c>
      <c r="E36" s="8">
        <f>IFERROR(C36*D36,0)</f>
        <v/>
      </c>
      <c r="F36" s="10">
        <f>IF(OR($A36="",$B36=""),"",IFERROR($C36*INDEX(INSUMOS!$K$5:$K$67,MATCH($B36,INSUMOS!$B$5:$B$67,0)),0))</f>
        <v/>
      </c>
    </row>
    <row r="37">
      <c r="A37" s="7" t="inlineStr">
        <is>
          <t>A5 Espiral blando - 80 hojas</t>
        </is>
      </c>
      <c r="B37" s="7" t="inlineStr">
        <is>
          <t>Espirales</t>
        </is>
      </c>
      <c r="C37" s="7" t="n">
        <v>1</v>
      </c>
      <c r="D37" s="8">
        <f>IF(A37="","",IFERROR(SUMIFS(PRODUCCION!C:C,PRODUCCION!B:B,A37),0))</f>
        <v/>
      </c>
      <c r="E37" s="8">
        <f>IFERROR(C37*D37,0)</f>
        <v/>
      </c>
      <c r="F37" s="10">
        <f>IF(OR($A37="",$B37=""),"",IFERROR($C37*INDEX(INSUMOS!$K$5:$K$67,MATCH($B37,INSUMOS!$B$5:$B$67,0)),0))</f>
        <v/>
      </c>
    </row>
    <row r="38">
      <c r="A38" s="7" t="inlineStr">
        <is>
          <t>A5 Espiral blando - 80 hojas</t>
        </is>
      </c>
      <c r="B38" s="7" t="inlineStr">
        <is>
          <t>Mica termolaminado A4</t>
        </is>
      </c>
      <c r="C38" s="7" t="n">
        <v>1</v>
      </c>
      <c r="D38" s="8">
        <f>IF(A38="","",IFERROR(SUMIFS(PRODUCCION!C:C,PRODUCCION!B:B,A38),0))</f>
        <v/>
      </c>
      <c r="E38" s="8">
        <f>IFERROR(C38*D38,0)</f>
        <v/>
      </c>
      <c r="F38" s="10">
        <f>IF(OR($A38="",$B38=""),"",IFERROR($C38*INDEX(INSUMOS!$K$5:$K$67,MATCH($B38,INSUMOS!$B$5:$B$67,0)),0))</f>
        <v/>
      </c>
    </row>
    <row r="39">
      <c r="A39" s="7" t="inlineStr">
        <is>
          <t>B5 Espiral blando - 80 hojas</t>
        </is>
      </c>
      <c r="B39" s="7" t="inlineStr">
        <is>
          <t>Papel foto A4</t>
        </is>
      </c>
      <c r="C39" s="7" t="n">
        <v>2</v>
      </c>
      <c r="D39" s="8">
        <f>IF(A39="","",IFERROR(SUMIFS(PRODUCCION!C:C,PRODUCCION!B:B,A39),0))</f>
        <v/>
      </c>
      <c r="E39" s="8">
        <f>IFERROR(C39*D39,0)</f>
        <v/>
      </c>
      <c r="F39" s="10">
        <f>IF(OR($A39="",$B39=""),"",IFERROR($C39*INDEX(INSUMOS!$K$5:$K$67,MATCH($B39,INSUMOS!$B$5:$B$67,0)),0))</f>
        <v/>
      </c>
    </row>
    <row r="40">
      <c r="A40" s="7" t="inlineStr">
        <is>
          <t>B5 Espiral blando - 80 hojas</t>
        </is>
      </c>
      <c r="B40" s="7" t="inlineStr">
        <is>
          <t>Papel bond B5 105 gr</t>
        </is>
      </c>
      <c r="C40" s="7" t="n">
        <v>80</v>
      </c>
      <c r="D40" s="8">
        <f>IF(A40="","",IFERROR(SUMIFS(PRODUCCION!C:C,PRODUCCION!B:B,A40),0))</f>
        <v/>
      </c>
      <c r="E40" s="8">
        <f>IFERROR(C40*D40,0)</f>
        <v/>
      </c>
      <c r="F40" s="10">
        <f>IF(OR($A40="",$B40=""),"",IFERROR($C40*INDEX(INSUMOS!$K$5:$K$67,MATCH($B40,INSUMOS!$B$5:$B$67,0)),0))</f>
        <v/>
      </c>
    </row>
    <row r="41">
      <c r="A41" s="7" t="inlineStr">
        <is>
          <t>B5 Espiral blando - 80 hojas</t>
        </is>
      </c>
      <c r="B41" s="7" t="inlineStr">
        <is>
          <t>Espirales</t>
        </is>
      </c>
      <c r="C41" s="7" t="n">
        <v>1</v>
      </c>
      <c r="D41" s="8">
        <f>IF(A41="","",IFERROR(SUMIFS(PRODUCCION!C:C,PRODUCCION!B:B,A41),0))</f>
        <v/>
      </c>
      <c r="E41" s="8">
        <f>IFERROR(C41*D41,0)</f>
        <v/>
      </c>
      <c r="F41" s="10">
        <f>IF(OR($A41="",$B41=""),"",IFERROR($C41*INDEX(INSUMOS!$K$5:$K$67,MATCH($B41,INSUMOS!$B$5:$B$67,0)),0))</f>
        <v/>
      </c>
    </row>
    <row r="42">
      <c r="A42" s="7" t="inlineStr">
        <is>
          <t>B5 Espiral blando - 80 hojas</t>
        </is>
      </c>
      <c r="B42" s="7" t="inlineStr">
        <is>
          <t>Mica termolaminado A4</t>
        </is>
      </c>
      <c r="C42" s="7" t="n">
        <v>2</v>
      </c>
      <c r="D42" s="8">
        <f>IF(A42="","",IFERROR(SUMIFS(PRODUCCION!C:C,PRODUCCION!B:B,A42),0))</f>
        <v/>
      </c>
      <c r="E42" s="8">
        <f>IFERROR(C42*D42,0)</f>
        <v/>
      </c>
      <c r="F42" s="10">
        <f>IF(OR($A42="",$B42=""),"",IFERROR($C42*INDEX(INSUMOS!$K$5:$K$67,MATCH($B42,INSUMOS!$B$5:$B$67,0)),0))</f>
        <v/>
      </c>
    </row>
    <row r="43">
      <c r="A43" s="7" t="inlineStr">
        <is>
          <t>A5 Espiral Tapa dura - 80 hojas</t>
        </is>
      </c>
      <c r="B43" s="7" t="inlineStr">
        <is>
          <t>Cartón piedra A5</t>
        </is>
      </c>
      <c r="C43" s="7" t="n">
        <v>2</v>
      </c>
      <c r="D43" s="8">
        <f>IF(A43="","",IFERROR(SUMIFS(PRODUCCION!C:C,PRODUCCION!B:B,A43),0))</f>
        <v/>
      </c>
      <c r="E43" s="8">
        <f>IFERROR(C43*D43,0)</f>
        <v/>
      </c>
      <c r="F43" s="10">
        <f>IF(OR($A43="",$B43=""),"",IFERROR($C43*INDEX(INSUMOS!$K$5:$K$67,MATCH($B43,INSUMOS!$B$5:$B$67,0)),0))</f>
        <v/>
      </c>
    </row>
    <row r="44">
      <c r="A44" s="7" t="inlineStr">
        <is>
          <t>A5 Espiral Tapa dura - 80 hojas</t>
        </is>
      </c>
      <c r="B44" s="7" t="inlineStr">
        <is>
          <t>Papel foto adhesivo brillo</t>
        </is>
      </c>
      <c r="C44" s="7" t="n">
        <v>2</v>
      </c>
      <c r="D44" s="8">
        <f>IF(A44="","",IFERROR(SUMIFS(PRODUCCION!C:C,PRODUCCION!B:B,A44),0))</f>
        <v/>
      </c>
      <c r="E44" s="8">
        <f>IFERROR(C44*D44,0)</f>
        <v/>
      </c>
      <c r="F44" s="10">
        <f>IF(OR($A44="",$B44=""),"",IFERROR($C44*INDEX(INSUMOS!$K$5:$K$67,MATCH($B44,INSUMOS!$B$5:$B$67,0)),0))</f>
        <v/>
      </c>
    </row>
    <row r="45">
      <c r="A45" s="7" t="inlineStr">
        <is>
          <t>A5 Espiral Tapa dura - 80 hojas</t>
        </is>
      </c>
      <c r="B45" s="7" t="inlineStr">
        <is>
          <t>Papel foto adhesivo matte</t>
        </is>
      </c>
      <c r="C45" s="7" t="n">
        <v>1</v>
      </c>
      <c r="D45" s="8">
        <f>IF(A45="","",IFERROR(SUMIFS(PRODUCCION!C:C,PRODUCCION!B:B,A45),0))</f>
        <v/>
      </c>
      <c r="E45" s="8">
        <f>IFERROR(C45*D45,0)</f>
        <v/>
      </c>
      <c r="F45" s="10">
        <f>IF(OR($A45="",$B45=""),"",IFERROR($C45*INDEX(INSUMOS!$K$5:$K$67,MATCH($B45,INSUMOS!$B$5:$B$67,0)),0))</f>
        <v/>
      </c>
    </row>
    <row r="46">
      <c r="A46" s="7" t="inlineStr">
        <is>
          <t>A5 Espiral Tapa dura - 80 hojas</t>
        </is>
      </c>
      <c r="B46" s="7" t="inlineStr">
        <is>
          <t>Laminado en frío A4 matte</t>
        </is>
      </c>
      <c r="C46" s="7" t="n">
        <v>2</v>
      </c>
      <c r="D46" s="8">
        <f>IF(A46="","",IFERROR(SUMIFS(PRODUCCION!C:C,PRODUCCION!B:B,A46),0))</f>
        <v/>
      </c>
      <c r="E46" s="8">
        <f>IFERROR(C46*D46,0)</f>
        <v/>
      </c>
      <c r="F46" s="10">
        <f>IF(OR($A46="",$B46=""),"",IFERROR($C46*INDEX(INSUMOS!$K$5:$K$67,MATCH($B46,INSUMOS!$B$5:$B$67,0)),0))</f>
        <v/>
      </c>
    </row>
    <row r="47">
      <c r="A47" s="7" t="inlineStr">
        <is>
          <t>A5 Espiral Tapa dura - 80 hojas</t>
        </is>
      </c>
      <c r="B47" s="7" t="inlineStr">
        <is>
          <t>Papel bond A5 105 gr</t>
        </is>
      </c>
      <c r="C47" s="7" t="n">
        <v>80</v>
      </c>
      <c r="D47" s="8">
        <f>IF(A47="","",IFERROR(SUMIFS(PRODUCCION!C:C,PRODUCCION!B:B,A47),0))</f>
        <v/>
      </c>
      <c r="E47" s="8">
        <f>IFERROR(C47*D47,0)</f>
        <v/>
      </c>
      <c r="F47" s="10">
        <f>IF(OR($A47="",$B47=""),"",IFERROR($C47*INDEX(INSUMOS!$K$5:$K$67,MATCH($B47,INSUMOS!$B$5:$B$67,0)),0))</f>
        <v/>
      </c>
    </row>
    <row r="48">
      <c r="A48" s="7" t="inlineStr">
        <is>
          <t>A5 Espiral Tapa dura - 80 hojas</t>
        </is>
      </c>
      <c r="B48" s="7" t="inlineStr">
        <is>
          <t>Espirales</t>
        </is>
      </c>
      <c r="C48" s="7" t="n">
        <v>1</v>
      </c>
      <c r="D48" s="8">
        <f>IF(A48="","",IFERROR(SUMIFS(PRODUCCION!C:C,PRODUCCION!B:B,A48),0))</f>
        <v/>
      </c>
      <c r="E48" s="8">
        <f>IFERROR(C48*D48,0)</f>
        <v/>
      </c>
      <c r="F48" s="10">
        <f>IF(OR($A48="",$B48=""),"",IFERROR($C48*INDEX(INSUMOS!$K$5:$K$67,MATCH($B48,INSUMOS!$B$5:$B$67,0)),0))</f>
        <v/>
      </c>
    </row>
    <row r="49">
      <c r="A49" s="7" t="inlineStr">
        <is>
          <t>B5 Espiral Tapa dura - 80 hojas</t>
        </is>
      </c>
      <c r="B49" s="7" t="inlineStr">
        <is>
          <t>Cartón piedra B5</t>
        </is>
      </c>
      <c r="C49" s="7" t="n">
        <v>2</v>
      </c>
      <c r="D49" s="8">
        <f>IF(A49="","",IFERROR(SUMIFS(PRODUCCION!C:C,PRODUCCION!B:B,A49),0))</f>
        <v/>
      </c>
      <c r="E49" s="8">
        <f>IFERROR(C49*D49,0)</f>
        <v/>
      </c>
      <c r="F49" s="10">
        <f>IF(OR($A49="",$B49=""),"",IFERROR($C49*INDEX(INSUMOS!$K$5:$K$67,MATCH($B49,INSUMOS!$B$5:$B$67,0)),0))</f>
        <v/>
      </c>
    </row>
    <row r="50">
      <c r="A50" s="7" t="inlineStr">
        <is>
          <t>B5 Espiral Tapa dura - 80 hojas</t>
        </is>
      </c>
      <c r="B50" s="7" t="inlineStr">
        <is>
          <t>Papel foto adhesivo brillo</t>
        </is>
      </c>
      <c r="C50" s="7" t="n">
        <v>2</v>
      </c>
      <c r="D50" s="8">
        <f>IF(A50="","",IFERROR(SUMIFS(PRODUCCION!C:C,PRODUCCION!B:B,A50),0))</f>
        <v/>
      </c>
      <c r="E50" s="8">
        <f>IFERROR(C50*D50,0)</f>
        <v/>
      </c>
      <c r="F50" s="10">
        <f>IF(OR($A50="",$B50=""),"",IFERROR($C50*INDEX(INSUMOS!$K$5:$K$67,MATCH($B50,INSUMOS!$B$5:$B$67,0)),0))</f>
        <v/>
      </c>
    </row>
    <row r="51">
      <c r="A51" s="7" t="inlineStr">
        <is>
          <t>B5 Espiral Tapa dura - 80 hojas</t>
        </is>
      </c>
      <c r="B51" s="7" t="inlineStr">
        <is>
          <t>Papel foto adhesivo matte</t>
        </is>
      </c>
      <c r="C51" s="7" t="n">
        <v>2</v>
      </c>
      <c r="D51" s="8">
        <f>IF(A51="","",IFERROR(SUMIFS(PRODUCCION!C:C,PRODUCCION!B:B,A51),0))</f>
        <v/>
      </c>
      <c r="E51" s="8">
        <f>IFERROR(C51*D51,0)</f>
        <v/>
      </c>
      <c r="F51" s="10">
        <f>IF(OR($A51="",$B51=""),"",IFERROR($C51*INDEX(INSUMOS!$K$5:$K$67,MATCH($B51,INSUMOS!$B$5:$B$67,0)),0))</f>
        <v/>
      </c>
    </row>
    <row r="52">
      <c r="A52" s="7" t="inlineStr">
        <is>
          <t>B5 Espiral Tapa dura - 80 hojas</t>
        </is>
      </c>
      <c r="B52" s="7" t="inlineStr">
        <is>
          <t>Laminado en frío A4 matte</t>
        </is>
      </c>
      <c r="C52" s="7" t="n">
        <v>2</v>
      </c>
      <c r="D52" s="8">
        <f>IF(A52="","",IFERROR(SUMIFS(PRODUCCION!C:C,PRODUCCION!B:B,A52),0))</f>
        <v/>
      </c>
      <c r="E52" s="8">
        <f>IFERROR(C52*D52,0)</f>
        <v/>
      </c>
      <c r="F52" s="10">
        <f>IF(OR($A52="",$B52=""),"",IFERROR($C52*INDEX(INSUMOS!$K$5:$K$67,MATCH($B52,INSUMOS!$B$5:$B$67,0)),0))</f>
        <v/>
      </c>
    </row>
    <row r="53">
      <c r="A53" s="7" t="inlineStr">
        <is>
          <t>B5 Espiral Tapa dura - 80 hojas</t>
        </is>
      </c>
      <c r="B53" s="7" t="inlineStr">
        <is>
          <t>Papel bond B5 105 gr</t>
        </is>
      </c>
      <c r="C53" s="7" t="n">
        <v>80</v>
      </c>
      <c r="D53" s="8">
        <f>IF(A53="","",IFERROR(SUMIFS(PRODUCCION!C:C,PRODUCCION!B:B,A53),0))</f>
        <v/>
      </c>
      <c r="E53" s="8">
        <f>IFERROR(C53*D53,0)</f>
        <v/>
      </c>
      <c r="F53" s="10">
        <f>IF(OR($A53="",$B53=""),"",IFERROR($C53*INDEX(INSUMOS!$K$5:$K$67,MATCH($B53,INSUMOS!$B$5:$B$67,0)),0))</f>
        <v/>
      </c>
    </row>
    <row r="54">
      <c r="A54" s="7" t="inlineStr">
        <is>
          <t>B5 Espiral Tapa dura - 80 hojas</t>
        </is>
      </c>
      <c r="B54" s="7" t="inlineStr">
        <is>
          <t>Espirales</t>
        </is>
      </c>
      <c r="C54" s="7" t="n">
        <v>1</v>
      </c>
      <c r="D54" s="8">
        <f>IF(A54="","",IFERROR(SUMIFS(PRODUCCION!C:C,PRODUCCION!B:B,A54),0))</f>
        <v/>
      </c>
      <c r="E54" s="8">
        <f>IFERROR(C54*D54,0)</f>
        <v/>
      </c>
      <c r="F54" s="10">
        <f>IF(OR($A54="",$B54=""),"",IFERROR($C54*INDEX(INSUMOS!$K$5:$K$67,MATCH($B54,INSUMOS!$B$5:$B$67,0)),0))</f>
        <v/>
      </c>
    </row>
    <row r="55">
      <c r="A55" s="7" t="inlineStr">
        <is>
          <t>A5 anillos - 50 hojas</t>
        </is>
      </c>
      <c r="B55" s="7" t="inlineStr">
        <is>
          <t>Cartón piedra A5</t>
        </is>
      </c>
      <c r="C55" s="7" t="n">
        <v>2</v>
      </c>
      <c r="D55" s="8">
        <f>IF(A55="","",IFERROR(SUMIFS(PRODUCCION!C:C,PRODUCCION!B:B,A55),0))</f>
        <v/>
      </c>
      <c r="E55" s="8">
        <f>IFERROR(C55*D55,0)</f>
        <v/>
      </c>
      <c r="F55" s="10">
        <f>IF(OR($A55="",$B55=""),"",IFERROR($C55*INDEX(INSUMOS!$K$5:$K$67,MATCH($B55,INSUMOS!$B$5:$B$67,0)),0))</f>
        <v/>
      </c>
    </row>
    <row r="56">
      <c r="A56" s="7" t="inlineStr">
        <is>
          <t>A5 anillos - 50 hojas</t>
        </is>
      </c>
      <c r="B56" s="7" t="inlineStr">
        <is>
          <t>Papel foto adhesivo brillo</t>
        </is>
      </c>
      <c r="C56" s="7" t="n">
        <v>2</v>
      </c>
      <c r="D56" s="8">
        <f>IF(A56="","",IFERROR(SUMIFS(PRODUCCION!C:C,PRODUCCION!B:B,A56),0))</f>
        <v/>
      </c>
      <c r="E56" s="8">
        <f>IFERROR(C56*D56,0)</f>
        <v/>
      </c>
      <c r="F56" s="10">
        <f>IF(OR($A56="",$B56=""),"",IFERROR($C56*INDEX(INSUMOS!$K$5:$K$67,MATCH($B56,INSUMOS!$B$5:$B$67,0)),0))</f>
        <v/>
      </c>
    </row>
    <row r="57">
      <c r="A57" s="7" t="inlineStr">
        <is>
          <t>A5 anillos - 50 hojas</t>
        </is>
      </c>
      <c r="B57" s="7" t="inlineStr">
        <is>
          <t>Papel foto adhesivo matte</t>
        </is>
      </c>
      <c r="C57" s="7" t="n">
        <v>1</v>
      </c>
      <c r="D57" s="8">
        <f>IF(A57="","",IFERROR(SUMIFS(PRODUCCION!C:C,PRODUCCION!B:B,A57),0))</f>
        <v/>
      </c>
      <c r="E57" s="8">
        <f>IFERROR(C57*D57,0)</f>
        <v/>
      </c>
      <c r="F57" s="10">
        <f>IF(OR($A57="",$B57=""),"",IFERROR($C57*INDEX(INSUMOS!$K$5:$K$67,MATCH($B57,INSUMOS!$B$5:$B$67,0)),0))</f>
        <v/>
      </c>
    </row>
    <row r="58">
      <c r="A58" s="7" t="inlineStr">
        <is>
          <t>A5 anillos - 50 hojas</t>
        </is>
      </c>
      <c r="B58" s="7" t="inlineStr">
        <is>
          <t>Laminado en frío A4 brillo</t>
        </is>
      </c>
      <c r="C58" s="7" t="n">
        <v>2</v>
      </c>
      <c r="D58" s="8">
        <f>IF(A58="","",IFERROR(SUMIFS(PRODUCCION!C:C,PRODUCCION!B:B,A58),0))</f>
        <v/>
      </c>
      <c r="E58" s="8">
        <f>IFERROR(C58*D58,0)</f>
        <v/>
      </c>
      <c r="F58" s="10">
        <f>IF(OR($A58="",$B58=""),"",IFERROR($C58*INDEX(INSUMOS!$K$5:$K$67,MATCH($B58,INSUMOS!$B$5:$B$67,0)),0))</f>
        <v/>
      </c>
    </row>
    <row r="59">
      <c r="A59" s="7" t="inlineStr">
        <is>
          <t>A5 anillos - 50 hojas</t>
        </is>
      </c>
      <c r="B59" s="7" t="inlineStr">
        <is>
          <t>Papel bond A5 105 gr</t>
        </is>
      </c>
      <c r="C59" s="7" t="n">
        <v>50</v>
      </c>
      <c r="D59" s="8">
        <f>IF(A59="","",IFERROR(SUMIFS(PRODUCCION!C:C,PRODUCCION!B:B,A59),0))</f>
        <v/>
      </c>
      <c r="E59" s="8">
        <f>IFERROR(C59*D59,0)</f>
        <v/>
      </c>
      <c r="F59" s="10">
        <f>IF(OR($A59="",$B59=""),"",IFERROR($C59*INDEX(INSUMOS!$K$5:$K$67,MATCH($B59,INSUMOS!$B$5:$B$67,0)),0))</f>
        <v/>
      </c>
    </row>
    <row r="60">
      <c r="A60" s="7" t="inlineStr">
        <is>
          <t>A5 anillos - 50 hojas</t>
        </is>
      </c>
      <c r="B60" s="7" t="inlineStr">
        <is>
          <t>Anillos 19 mm (3/4")</t>
        </is>
      </c>
      <c r="C60" s="7" t="n">
        <v>15</v>
      </c>
      <c r="D60" s="8">
        <f>IF(A60="","",IFERROR(SUMIFS(PRODUCCION!C:C,PRODUCCION!B:B,A60),0))</f>
        <v/>
      </c>
      <c r="E60" s="8">
        <f>IFERROR(C60*D60,0)</f>
        <v/>
      </c>
      <c r="F60" s="10">
        <f>IF(OR($A60="",$B60=""),"",IFERROR($C60*INDEX(INSUMOS!$K$5:$K$67,MATCH($B60,INSUMOS!$B$5:$B$67,0)),0))</f>
        <v/>
      </c>
    </row>
    <row r="61">
      <c r="A61" s="7" t="inlineStr">
        <is>
          <t>A5 anillos - 100 hojas</t>
        </is>
      </c>
      <c r="B61" s="7" t="inlineStr">
        <is>
          <t>Cartón piedra A5</t>
        </is>
      </c>
      <c r="C61" s="7" t="n">
        <v>2</v>
      </c>
      <c r="D61" s="8">
        <f>IF(A61="","",IFERROR(SUMIFS(PRODUCCION!C:C,PRODUCCION!B:B,A61),0))</f>
        <v/>
      </c>
      <c r="E61" s="8">
        <f>IFERROR(C61*D61,0)</f>
        <v/>
      </c>
      <c r="F61" s="10">
        <f>IF(OR($A61="",$B61=""),"",IFERROR($C61*INDEX(INSUMOS!$K$5:$K$67,MATCH($B61,INSUMOS!$B$5:$B$67,0)),0))</f>
        <v/>
      </c>
    </row>
    <row r="62">
      <c r="A62" s="7" t="inlineStr">
        <is>
          <t>A5 anillos - 100 hojas</t>
        </is>
      </c>
      <c r="B62" s="7" t="inlineStr">
        <is>
          <t>Papel foto adhesivo brillo</t>
        </is>
      </c>
      <c r="C62" s="7" t="n">
        <v>2</v>
      </c>
      <c r="D62" s="8">
        <f>IF(A62="","",IFERROR(SUMIFS(PRODUCCION!C:C,PRODUCCION!B:B,A62),0))</f>
        <v/>
      </c>
      <c r="E62" s="8">
        <f>IFERROR(C62*D62,0)</f>
        <v/>
      </c>
      <c r="F62" s="10">
        <f>IF(OR($A62="",$B62=""),"",IFERROR($C62*INDEX(INSUMOS!$K$5:$K$67,MATCH($B62,INSUMOS!$B$5:$B$67,0)),0))</f>
        <v/>
      </c>
    </row>
    <row r="63">
      <c r="A63" s="7" t="inlineStr">
        <is>
          <t>A5 anillos - 100 hojas</t>
        </is>
      </c>
      <c r="B63" s="7" t="inlineStr">
        <is>
          <t>Papel foto adhesivo matte</t>
        </is>
      </c>
      <c r="C63" s="7" t="n">
        <v>1</v>
      </c>
      <c r="D63" s="8">
        <f>IF(A63="","",IFERROR(SUMIFS(PRODUCCION!C:C,PRODUCCION!B:B,A63),0))</f>
        <v/>
      </c>
      <c r="E63" s="8">
        <f>IFERROR(C63*D63,0)</f>
        <v/>
      </c>
      <c r="F63" s="10">
        <f>IF(OR($A63="",$B63=""),"",IFERROR($C63*INDEX(INSUMOS!$K$5:$K$67,MATCH($B63,INSUMOS!$B$5:$B$67,0)),0))</f>
        <v/>
      </c>
    </row>
    <row r="64">
      <c r="A64" s="7" t="inlineStr">
        <is>
          <t>A5 anillos - 100 hojas</t>
        </is>
      </c>
      <c r="B64" s="7" t="inlineStr">
        <is>
          <t>Laminado en frío A4 brillo</t>
        </is>
      </c>
      <c r="C64" s="7" t="n">
        <v>2</v>
      </c>
      <c r="D64" s="8">
        <f>IF(A64="","",IFERROR(SUMIFS(PRODUCCION!C:C,PRODUCCION!B:B,A64),0))</f>
        <v/>
      </c>
      <c r="E64" s="8">
        <f>IFERROR(C64*D64,0)</f>
        <v/>
      </c>
      <c r="F64" s="10">
        <f>IF(OR($A64="",$B64=""),"",IFERROR($C64*INDEX(INSUMOS!$K$5:$K$67,MATCH($B64,INSUMOS!$B$5:$B$67,0)),0))</f>
        <v/>
      </c>
    </row>
    <row r="65">
      <c r="A65" s="7" t="inlineStr">
        <is>
          <t>A5 anillos - 100 hojas</t>
        </is>
      </c>
      <c r="B65" s="7" t="inlineStr">
        <is>
          <t>Papel bond A5 105 gr</t>
        </is>
      </c>
      <c r="C65" s="7" t="n">
        <v>100</v>
      </c>
      <c r="D65" s="8">
        <f>IF(A65="","",IFERROR(SUMIFS(PRODUCCION!C:C,PRODUCCION!B:B,A65),0))</f>
        <v/>
      </c>
      <c r="E65" s="8">
        <f>IFERROR(C65*D65,0)</f>
        <v/>
      </c>
      <c r="F65" s="10">
        <f>IF(OR($A65="",$B65=""),"",IFERROR($C65*INDEX(INSUMOS!$K$5:$K$67,MATCH($B65,INSUMOS!$B$5:$B$67,0)),0))</f>
        <v/>
      </c>
    </row>
    <row r="66">
      <c r="A66" s="7" t="inlineStr">
        <is>
          <t>A5 anillos - 100 hojas</t>
        </is>
      </c>
      <c r="B66" s="7" t="inlineStr">
        <is>
          <t>Anillos 19 mm (3/4")</t>
        </is>
      </c>
      <c r="C66" s="7" t="n">
        <v>15</v>
      </c>
      <c r="D66" s="8">
        <f>IF(A66="","",IFERROR(SUMIFS(PRODUCCION!C:C,PRODUCCION!B:B,A66),0))</f>
        <v/>
      </c>
      <c r="E66" s="8">
        <f>IFERROR(C66*D66,0)</f>
        <v/>
      </c>
      <c r="F66" s="10">
        <f>IF(OR($A66="",$B66=""),"",IFERROR($C66*INDEX(INSUMOS!$K$5:$K$67,MATCH($B66,INSUMOS!$B$5:$B$67,0)),0))</f>
        <v/>
      </c>
    </row>
    <row r="67">
      <c r="A67" s="7" t="inlineStr">
        <is>
          <t>B5 Anillos - 50 hojas</t>
        </is>
      </c>
      <c r="B67" s="7" t="inlineStr">
        <is>
          <t>Cartón piedra B5</t>
        </is>
      </c>
      <c r="C67" s="7" t="n">
        <v>2</v>
      </c>
      <c r="D67" s="8">
        <f>IF(A67="","",IFERROR(SUMIFS(PRODUCCION!C:C,PRODUCCION!B:B,A67),0))</f>
        <v/>
      </c>
      <c r="E67" s="8">
        <f>IFERROR(C67*D67,0)</f>
        <v/>
      </c>
      <c r="F67" s="10">
        <f>IF(OR($A67="",$B67=""),"",IFERROR($C67*INDEX(INSUMOS!$K$5:$K$67,MATCH($B67,INSUMOS!$B$5:$B$67,0)),0))</f>
        <v/>
      </c>
    </row>
    <row r="68">
      <c r="A68" s="7" t="inlineStr">
        <is>
          <t>B5 Anillos - 50 hojas</t>
        </is>
      </c>
      <c r="B68" s="7" t="inlineStr">
        <is>
          <t>Papel foto adhesivo brillo</t>
        </is>
      </c>
      <c r="C68" s="7" t="n">
        <v>2</v>
      </c>
      <c r="D68" s="8">
        <f>IF(A68="","",IFERROR(SUMIFS(PRODUCCION!C:C,PRODUCCION!B:B,A68),0))</f>
        <v/>
      </c>
      <c r="E68" s="8">
        <f>IFERROR(C68*D68,0)</f>
        <v/>
      </c>
      <c r="F68" s="10">
        <f>IF(OR($A68="",$B68=""),"",IFERROR($C68*INDEX(INSUMOS!$K$5:$K$67,MATCH($B68,INSUMOS!$B$5:$B$67,0)),0))</f>
        <v/>
      </c>
    </row>
    <row r="69">
      <c r="A69" s="7" t="inlineStr">
        <is>
          <t>B5 Anillos - 50 hojas</t>
        </is>
      </c>
      <c r="B69" s="7" t="inlineStr">
        <is>
          <t>Papel foto adhesivo matte</t>
        </is>
      </c>
      <c r="C69" s="7" t="n">
        <v>2</v>
      </c>
      <c r="D69" s="8">
        <f>IF(A69="","",IFERROR(SUMIFS(PRODUCCION!C:C,PRODUCCION!B:B,A69),0))</f>
        <v/>
      </c>
      <c r="E69" s="8">
        <f>IFERROR(C69*D69,0)</f>
        <v/>
      </c>
      <c r="F69" s="10">
        <f>IF(OR($A69="",$B69=""),"",IFERROR($C69*INDEX(INSUMOS!$K$5:$K$67,MATCH($B69,INSUMOS!$B$5:$B$67,0)),0))</f>
        <v/>
      </c>
    </row>
    <row r="70">
      <c r="A70" s="7" t="inlineStr">
        <is>
          <t>B5 Anillos - 50 hojas</t>
        </is>
      </c>
      <c r="B70" s="7" t="inlineStr">
        <is>
          <t>Laminado en frío A4 brillo</t>
        </is>
      </c>
      <c r="C70" s="7" t="n">
        <v>2</v>
      </c>
      <c r="D70" s="8">
        <f>IF(A70="","",IFERROR(SUMIFS(PRODUCCION!C:C,PRODUCCION!B:B,A70),0))</f>
        <v/>
      </c>
      <c r="E70" s="8">
        <f>IFERROR(C70*D70,0)</f>
        <v/>
      </c>
      <c r="F70" s="10">
        <f>IF(OR($A70="",$B70=""),"",IFERROR($C70*INDEX(INSUMOS!$K$5:$K$67,MATCH($B70,INSUMOS!$B$5:$B$67,0)),0))</f>
        <v/>
      </c>
    </row>
    <row r="71">
      <c r="A71" s="7" t="inlineStr">
        <is>
          <t>B5 Anillos - 50 hojas</t>
        </is>
      </c>
      <c r="B71" s="7" t="inlineStr">
        <is>
          <t>Papel bond B5 105 gr</t>
        </is>
      </c>
      <c r="C71" s="7" t="n">
        <v>50</v>
      </c>
      <c r="D71" s="8">
        <f>IF(A71="","",IFERROR(SUMIFS(PRODUCCION!C:C,PRODUCCION!B:B,A71),0))</f>
        <v/>
      </c>
      <c r="E71" s="8">
        <f>IFERROR(C71*D71,0)</f>
        <v/>
      </c>
      <c r="F71" s="10">
        <f>IF(OR($A71="",$B71=""),"",IFERROR($C71*INDEX(INSUMOS!$K$5:$K$67,MATCH($B71,INSUMOS!$B$5:$B$67,0)),0))</f>
        <v/>
      </c>
    </row>
    <row r="72">
      <c r="A72" s="7" t="inlineStr">
        <is>
          <t>B5 Anillos - 50 hojas</t>
        </is>
      </c>
      <c r="B72" s="7" t="inlineStr">
        <is>
          <t>Anillos 16 mm (5/8")</t>
        </is>
      </c>
      <c r="C72" s="7" t="n">
        <v>19</v>
      </c>
      <c r="D72" s="8">
        <f>IF(A72="","",IFERROR(SUMIFS(PRODUCCION!C:C,PRODUCCION!B:B,A72),0))</f>
        <v/>
      </c>
      <c r="E72" s="8">
        <f>IFERROR(C72*D72,0)</f>
        <v/>
      </c>
      <c r="F72" s="10">
        <f>IF(OR($A72="",$B72=""),"",IFERROR($C72*INDEX(INSUMOS!$K$5:$K$67,MATCH($B72,INSUMOS!$B$5:$B$67,0)),0))</f>
        <v/>
      </c>
    </row>
    <row r="73">
      <c r="A73" s="7" t="inlineStr">
        <is>
          <t>B5 Anillos - 100 hojas</t>
        </is>
      </c>
      <c r="B73" s="7" t="inlineStr">
        <is>
          <t>Cartón piedra B5</t>
        </is>
      </c>
      <c r="C73" s="7" t="n">
        <v>2</v>
      </c>
      <c r="D73" s="8">
        <f>IF(A73="","",IFERROR(SUMIFS(PRODUCCION!C:C,PRODUCCION!B:B,A73),0))</f>
        <v/>
      </c>
      <c r="E73" s="8">
        <f>IFERROR(C73*D73,0)</f>
        <v/>
      </c>
      <c r="F73" s="10">
        <f>IF(OR($A73="",$B73=""),"",IFERROR($C73*INDEX(INSUMOS!$K$5:$K$67,MATCH($B73,INSUMOS!$B$5:$B$67,0)),0))</f>
        <v/>
      </c>
    </row>
    <row r="74">
      <c r="A74" s="7" t="inlineStr">
        <is>
          <t>B5 Anillos - 100 hojas</t>
        </is>
      </c>
      <c r="B74" s="7" t="inlineStr">
        <is>
          <t>Papel foto adhesivo brillo</t>
        </is>
      </c>
      <c r="C74" s="7" t="n">
        <v>2</v>
      </c>
      <c r="D74" s="8">
        <f>IF(A74="","",IFERROR(SUMIFS(PRODUCCION!C:C,PRODUCCION!B:B,A74),0))</f>
        <v/>
      </c>
      <c r="E74" s="8">
        <f>IFERROR(C74*D74,0)</f>
        <v/>
      </c>
      <c r="F74" s="10">
        <f>IF(OR($A74="",$B74=""),"",IFERROR($C74*INDEX(INSUMOS!$K$5:$K$67,MATCH($B74,INSUMOS!$B$5:$B$67,0)),0))</f>
        <v/>
      </c>
    </row>
    <row r="75">
      <c r="A75" s="7" t="inlineStr">
        <is>
          <t>B5 Anillos - 100 hojas</t>
        </is>
      </c>
      <c r="B75" s="7" t="inlineStr">
        <is>
          <t>Papel foto adhesivo matte</t>
        </is>
      </c>
      <c r="C75" s="7" t="n">
        <v>2</v>
      </c>
      <c r="D75" s="8">
        <f>IF(A75="","",IFERROR(SUMIFS(PRODUCCION!C:C,PRODUCCION!B:B,A75),0))</f>
        <v/>
      </c>
      <c r="E75" s="8">
        <f>IFERROR(C75*D75,0)</f>
        <v/>
      </c>
      <c r="F75" s="10">
        <f>IF(OR($A75="",$B75=""),"",IFERROR($C75*INDEX(INSUMOS!$K$5:$K$67,MATCH($B75,INSUMOS!$B$5:$B$67,0)),0))</f>
        <v/>
      </c>
    </row>
    <row r="76">
      <c r="A76" s="7" t="inlineStr">
        <is>
          <t>B5 Anillos - 100 hojas</t>
        </is>
      </c>
      <c r="B76" s="7" t="inlineStr">
        <is>
          <t>Laminado en frío A4 brillo</t>
        </is>
      </c>
      <c r="C76" s="7" t="n">
        <v>2</v>
      </c>
      <c r="D76" s="8">
        <f>IF(A76="","",IFERROR(SUMIFS(PRODUCCION!C:C,PRODUCCION!B:B,A76),0))</f>
        <v/>
      </c>
      <c r="E76" s="8">
        <f>IFERROR(C76*D76,0)</f>
        <v/>
      </c>
      <c r="F76" s="10">
        <f>IF(OR($A76="",$B76=""),"",IFERROR($C76*INDEX(INSUMOS!$K$5:$K$67,MATCH($B76,INSUMOS!$B$5:$B$67,0)),0))</f>
        <v/>
      </c>
    </row>
    <row r="77">
      <c r="A77" s="7" t="inlineStr">
        <is>
          <t>B5 Anillos - 100 hojas</t>
        </is>
      </c>
      <c r="B77" s="7" t="inlineStr">
        <is>
          <t>Papel bond B5 105 gr</t>
        </is>
      </c>
      <c r="C77" s="7" t="n">
        <v>100</v>
      </c>
      <c r="D77" s="8">
        <f>IF(A77="","",IFERROR(SUMIFS(PRODUCCION!C:C,PRODUCCION!B:B,A77),0))</f>
        <v/>
      </c>
      <c r="E77" s="8">
        <f>IFERROR(C77*D77,0)</f>
        <v/>
      </c>
      <c r="F77" s="10">
        <f>IF(OR($A77="",$B77=""),"",IFERROR($C77*INDEX(INSUMOS!$K$5:$K$67,MATCH($B77,INSUMOS!$B$5:$B$67,0)),0))</f>
        <v/>
      </c>
    </row>
    <row r="78">
      <c r="A78" s="7" t="inlineStr">
        <is>
          <t>B5 Anillos - 100 hojas</t>
        </is>
      </c>
      <c r="B78" s="7" t="inlineStr">
        <is>
          <t>Anillos 22 mm (7/8")</t>
        </is>
      </c>
      <c r="C78" s="7" t="n">
        <v>19</v>
      </c>
      <c r="D78" s="8">
        <f>IF(A78="","",IFERROR(SUMIFS(PRODUCCION!C:C,PRODUCCION!B:B,A78),0))</f>
        <v/>
      </c>
      <c r="E78" s="8">
        <f>IFERROR(C78*D78,0)</f>
        <v/>
      </c>
      <c r="F78" s="10">
        <f>IF(OR($A78="",$B78=""),"",IFERROR($C78*INDEX(INSUMOS!$K$5:$K$67,MATCH($B78,INSUMOS!$B$5:$B$67,0)),0))</f>
        <v/>
      </c>
    </row>
    <row r="79">
      <c r="A79" s="7" t="inlineStr">
        <is>
          <t>Planner 100 hojas</t>
        </is>
      </c>
      <c r="B79" s="7" t="inlineStr">
        <is>
          <t>Cartón piedra A5</t>
        </is>
      </c>
      <c r="C79" s="7" t="n">
        <v>2</v>
      </c>
      <c r="D79" s="8">
        <f>IF(A79="","",IFERROR(SUMIFS(PRODUCCION!C:C,PRODUCCION!B:B,A79),0))</f>
        <v/>
      </c>
      <c r="E79" s="8">
        <f>IFERROR(C79*D79,0)</f>
        <v/>
      </c>
      <c r="F79" s="10">
        <f>IF(OR($A79="",$B79=""),"",IFERROR($C79*INDEX(INSUMOS!$K$5:$K$67,MATCH($B79,INSUMOS!$B$5:$B$67,0)),0))</f>
        <v/>
      </c>
    </row>
    <row r="80">
      <c r="A80" s="7" t="inlineStr">
        <is>
          <t>Planner 100 hojas</t>
        </is>
      </c>
      <c r="B80" s="7" t="inlineStr">
        <is>
          <t>Papel foto adhesivo brillo</t>
        </is>
      </c>
      <c r="C80" s="7" t="n">
        <v>2</v>
      </c>
      <c r="D80" s="8">
        <f>IF(A80="","",IFERROR(SUMIFS(PRODUCCION!C:C,PRODUCCION!B:B,A80),0))</f>
        <v/>
      </c>
      <c r="E80" s="8">
        <f>IFERROR(C80*D80,0)</f>
        <v/>
      </c>
      <c r="F80" s="10">
        <f>IF(OR($A80="",$B80=""),"",IFERROR($C80*INDEX(INSUMOS!$K$5:$K$67,MATCH($B80,INSUMOS!$B$5:$B$67,0)),0))</f>
        <v/>
      </c>
    </row>
    <row r="81">
      <c r="A81" s="7" t="inlineStr">
        <is>
          <t>Planner 100 hojas</t>
        </is>
      </c>
      <c r="B81" s="7" t="inlineStr">
        <is>
          <t>Papel foto adhesivo matte</t>
        </is>
      </c>
      <c r="C81" s="7" t="n">
        <v>1</v>
      </c>
      <c r="D81" s="8">
        <f>IF(A81="","",IFERROR(SUMIFS(PRODUCCION!C:C,PRODUCCION!B:B,A81),0))</f>
        <v/>
      </c>
      <c r="E81" s="8">
        <f>IFERROR(C81*D81,0)</f>
        <v/>
      </c>
      <c r="F81" s="10">
        <f>IF(OR($A81="",$B81=""),"",IFERROR($C81*INDEX(INSUMOS!$K$5:$K$67,MATCH($B81,INSUMOS!$B$5:$B$67,0)),0))</f>
        <v/>
      </c>
    </row>
    <row r="82">
      <c r="A82" s="7" t="inlineStr">
        <is>
          <t>Planner 100 hojas</t>
        </is>
      </c>
      <c r="B82" s="7" t="inlineStr">
        <is>
          <t>Laminado en frío A4 brillo</t>
        </is>
      </c>
      <c r="C82" s="7" t="n">
        <v>2</v>
      </c>
      <c r="D82" s="8">
        <f>IF(A82="","",IFERROR(SUMIFS(PRODUCCION!C:C,PRODUCCION!B:B,A82),0))</f>
        <v/>
      </c>
      <c r="E82" s="8">
        <f>IFERROR(C82*D82,0)</f>
        <v/>
      </c>
      <c r="F82" s="10">
        <f>IF(OR($A82="",$B82=""),"",IFERROR($C82*INDEX(INSUMOS!$K$5:$K$67,MATCH($B82,INSUMOS!$B$5:$B$67,0)),0))</f>
        <v/>
      </c>
    </row>
    <row r="83">
      <c r="A83" s="7" t="inlineStr">
        <is>
          <t>Planner 100 hojas</t>
        </is>
      </c>
      <c r="B83" s="7" t="inlineStr">
        <is>
          <t>Papel bond A5 105 gr</t>
        </is>
      </c>
      <c r="C83" s="7" t="n">
        <v>100</v>
      </c>
      <c r="D83" s="8">
        <f>IF(A83="","",IFERROR(SUMIFS(PRODUCCION!C:C,PRODUCCION!B:B,A83),0))</f>
        <v/>
      </c>
      <c r="E83" s="8">
        <f>IFERROR(C83*D83,0)</f>
        <v/>
      </c>
      <c r="F83" s="10">
        <f>IF(OR($A83="",$B83=""),"",IFERROR($C83*INDEX(INSUMOS!$K$5:$K$67,MATCH($B83,INSUMOS!$B$5:$B$67,0)),0))</f>
        <v/>
      </c>
    </row>
    <row r="84">
      <c r="A84" s="7" t="inlineStr">
        <is>
          <t>Planner 100 hojas</t>
        </is>
      </c>
      <c r="B84" s="7" t="inlineStr">
        <is>
          <t>Anillos 22 mm (7/8")</t>
        </is>
      </c>
      <c r="C84" s="7" t="n">
        <v>15</v>
      </c>
      <c r="D84" s="8">
        <f>IF(A84="","",IFERROR(SUMIFS(PRODUCCION!C:C,PRODUCCION!B:B,A84),0))</f>
        <v/>
      </c>
      <c r="E84" s="8">
        <f>IFERROR(C84*D84,0)</f>
        <v/>
      </c>
      <c r="F84" s="10">
        <f>IF(OR($A84="",$B84=""),"",IFERROR($C84*INDEX(INSUMOS!$K$5:$K$67,MATCH($B84,INSUMOS!$B$5:$B$67,0)),0))</f>
        <v/>
      </c>
    </row>
    <row r="85">
      <c r="A85" s="7" t="inlineStr">
        <is>
          <t>Planner 50 hojas</t>
        </is>
      </c>
      <c r="B85" s="7" t="inlineStr">
        <is>
          <t>Cartón piedra A5</t>
        </is>
      </c>
      <c r="C85" s="7" t="n">
        <v>2</v>
      </c>
      <c r="D85" s="8">
        <f>IF(A85="","",IFERROR(SUMIFS(PRODUCCION!C:C,PRODUCCION!B:B,A85),0))</f>
        <v/>
      </c>
      <c r="E85" s="8">
        <f>IFERROR(C85*D85,0)</f>
        <v/>
      </c>
      <c r="F85" s="10">
        <f>IF(OR($A85="",$B85=""),"",IFERROR($C85*INDEX(INSUMOS!$K$5:$K$67,MATCH($B85,INSUMOS!$B$5:$B$67,0)),0))</f>
        <v/>
      </c>
    </row>
    <row r="86">
      <c r="A86" s="7" t="inlineStr">
        <is>
          <t>Planner 50 hojas</t>
        </is>
      </c>
      <c r="B86" s="7" t="inlineStr">
        <is>
          <t>Papel foto adhesivo brillo</t>
        </is>
      </c>
      <c r="C86" s="7" t="n">
        <v>2</v>
      </c>
      <c r="D86" s="8">
        <f>IF(A86="","",IFERROR(SUMIFS(PRODUCCION!C:C,PRODUCCION!B:B,A86),0))</f>
        <v/>
      </c>
      <c r="E86" s="8">
        <f>IFERROR(C86*D86,0)</f>
        <v/>
      </c>
      <c r="F86" s="10">
        <f>IF(OR($A86="",$B86=""),"",IFERROR($C86*INDEX(INSUMOS!$K$5:$K$67,MATCH($B86,INSUMOS!$B$5:$B$67,0)),0))</f>
        <v/>
      </c>
    </row>
    <row r="87">
      <c r="A87" s="7" t="inlineStr">
        <is>
          <t>Planner 50 hojas</t>
        </is>
      </c>
      <c r="B87" s="7" t="inlineStr">
        <is>
          <t>Papel foto adhesivo matte</t>
        </is>
      </c>
      <c r="C87" s="7" t="n">
        <v>1</v>
      </c>
      <c r="D87" s="8">
        <f>IF(A87="","",IFERROR(SUMIFS(PRODUCCION!C:C,PRODUCCION!B:B,A87),0))</f>
        <v/>
      </c>
      <c r="E87" s="8">
        <f>IFERROR(C87*D87,0)</f>
        <v/>
      </c>
      <c r="F87" s="10">
        <f>IF(OR($A87="",$B87=""),"",IFERROR($C87*INDEX(INSUMOS!$K$5:$K$67,MATCH($B87,INSUMOS!$B$5:$B$67,0)),0))</f>
        <v/>
      </c>
    </row>
    <row r="88">
      <c r="A88" s="7" t="inlineStr">
        <is>
          <t>Planner 50 hojas</t>
        </is>
      </c>
      <c r="B88" s="7" t="inlineStr">
        <is>
          <t>Laminado en frío A4 brillo</t>
        </is>
      </c>
      <c r="C88" s="7" t="n">
        <v>2</v>
      </c>
      <c r="D88" s="8">
        <f>IF(A88="","",IFERROR(SUMIFS(PRODUCCION!C:C,PRODUCCION!B:B,A88),0))</f>
        <v/>
      </c>
      <c r="E88" s="8">
        <f>IFERROR(C88*D88,0)</f>
        <v/>
      </c>
      <c r="F88" s="10">
        <f>IF(OR($A88="",$B88=""),"",IFERROR($C88*INDEX(INSUMOS!$K$5:$K$67,MATCH($B88,INSUMOS!$B$5:$B$67,0)),0))</f>
        <v/>
      </c>
    </row>
    <row r="89">
      <c r="A89" s="7" t="inlineStr">
        <is>
          <t>Planner 50 hojas</t>
        </is>
      </c>
      <c r="B89" s="7" t="inlineStr">
        <is>
          <t>Papel bond A5 105 gr</t>
        </is>
      </c>
      <c r="C89" s="7" t="n">
        <v>50</v>
      </c>
      <c r="D89" s="8">
        <f>IF(A89="","",IFERROR(SUMIFS(PRODUCCION!C:C,PRODUCCION!B:B,A89),0))</f>
        <v/>
      </c>
      <c r="E89" s="8">
        <f>IFERROR(C89*D89,0)</f>
        <v/>
      </c>
      <c r="F89" s="10">
        <f>IF(OR($A89="",$B89=""),"",IFERROR($C89*INDEX(INSUMOS!$K$5:$K$67,MATCH($B89,INSUMOS!$B$5:$B$67,0)),0))</f>
        <v/>
      </c>
    </row>
    <row r="90">
      <c r="A90" s="7" t="inlineStr">
        <is>
          <t>Planner 50 hojas</t>
        </is>
      </c>
      <c r="B90" s="7" t="inlineStr">
        <is>
          <t>Anillos 22 mm (7/8")</t>
        </is>
      </c>
      <c r="C90" s="7" t="n">
        <v>15</v>
      </c>
      <c r="D90" s="8">
        <f>IF(A90="","",IFERROR(SUMIFS(PRODUCCION!C:C,PRODUCCION!B:B,A90),0))</f>
        <v/>
      </c>
      <c r="E90" s="8">
        <f>IFERROR(C90*D90,0)</f>
        <v/>
      </c>
      <c r="F90" s="10">
        <f>IF(OR($A90="",$B90=""),"",IFERROR($C90*INDEX(INSUMOS!$K$5:$K$67,MATCH($B90,INSUMOS!$B$5:$B$67,0)),0))</f>
        <v/>
      </c>
    </row>
    <row r="91">
      <c r="A91" s="7" t="inlineStr">
        <is>
          <t>Libreta Corchetes</t>
        </is>
      </c>
      <c r="B91" s="7" t="inlineStr">
        <is>
          <t>Opalina A4 blanco 140 gr</t>
        </is>
      </c>
      <c r="C91" s="7" t="n">
        <v>1</v>
      </c>
      <c r="D91" s="8">
        <f>IF(A91="","",IFERROR(SUMIFS(PRODUCCION!C:C,PRODUCCION!B:B,A91),0))</f>
        <v/>
      </c>
      <c r="E91" s="8">
        <f>IFERROR(C91*D91,0)</f>
        <v/>
      </c>
      <c r="F91" s="10">
        <f>IF(OR($A91="",$B91=""),"",IFERROR($C91*INDEX(INSUMOS!$K$5:$K$67,MATCH($B91,INSUMOS!$B$5:$B$67,0)),0))</f>
        <v/>
      </c>
    </row>
    <row r="92">
      <c r="A92" s="7" t="inlineStr">
        <is>
          <t>Libreta Corchetes</t>
        </is>
      </c>
      <c r="B92" s="7" t="inlineStr">
        <is>
          <t>Laminado en frío A4 matte</t>
        </is>
      </c>
      <c r="C92" s="7" t="n">
        <v>1</v>
      </c>
      <c r="D92" s="8">
        <f>IF(A92="","",IFERROR(SUMIFS(PRODUCCION!C:C,PRODUCCION!B:B,A92),0))</f>
        <v/>
      </c>
      <c r="E92" s="8">
        <f>IFERROR(C92*D92,0)</f>
        <v/>
      </c>
      <c r="F92" s="10">
        <f>IF(OR($A92="",$B92=""),"",IFERROR($C92*INDEX(INSUMOS!$K$5:$K$67,MATCH($B92,INSUMOS!$B$5:$B$67,0)),0))</f>
        <v/>
      </c>
    </row>
    <row r="93">
      <c r="A93" s="7" t="inlineStr">
        <is>
          <t>Libreta Corchetes</t>
        </is>
      </c>
      <c r="B93" s="7" t="inlineStr">
        <is>
          <t>Papel bond A4 105 gr</t>
        </is>
      </c>
      <c r="C93" s="7" t="n">
        <v>10</v>
      </c>
      <c r="D93" s="8">
        <f>IF(A93="","",IFERROR(SUMIFS(PRODUCCION!C:C,PRODUCCION!B:B,A93),0))</f>
        <v/>
      </c>
      <c r="E93" s="8">
        <f>IFERROR(C93*D93,0)</f>
        <v/>
      </c>
      <c r="F93" s="10">
        <f>IF(OR($A93="",$B93=""),"",IFERROR($C93*INDEX(INSUMOS!$K$5:$K$67,MATCH($B93,INSUMOS!$B$5:$B$67,0)),0))</f>
        <v/>
      </c>
    </row>
    <row r="94">
      <c r="A94" s="7" t="inlineStr">
        <is>
          <t>Libreta Corchetes</t>
        </is>
      </c>
      <c r="B94" s="7" t="inlineStr">
        <is>
          <t>Corchete</t>
        </is>
      </c>
      <c r="C94" s="7" t="n">
        <v>3</v>
      </c>
      <c r="D94" s="8">
        <f>IF(A94="","",IFERROR(SUMIFS(PRODUCCION!C:C,PRODUCCION!B:B,A94),0))</f>
        <v/>
      </c>
      <c r="E94" s="8">
        <f>IFERROR(C94*D94,0)</f>
        <v/>
      </c>
      <c r="F94" s="10">
        <f>IF(OR($A94="",$B94=""),"",IFERROR($C94*INDEX(INSUMOS!$K$5:$K$67,MATCH($B94,INSUMOS!$B$5:$B$67,0)),0))</f>
        <v/>
      </c>
    </row>
    <row r="95">
      <c r="A95" s="7" t="inlineStr">
        <is>
          <t>Semanal Encolado</t>
        </is>
      </c>
      <c r="B95" s="7" t="inlineStr">
        <is>
          <t>Papel bond A5 105 gr</t>
        </is>
      </c>
      <c r="C95" s="7" t="n">
        <v>25</v>
      </c>
      <c r="D95" s="8">
        <f>IF(A95="","",IFERROR(SUMIFS(PRODUCCION!C:C,PRODUCCION!B:B,A95),0))</f>
        <v/>
      </c>
      <c r="E95" s="8">
        <f>IFERROR(C95*D95,0)</f>
        <v/>
      </c>
      <c r="F95" s="10">
        <f>IF(OR($A95="",$B95=""),"",IFERROR($C95*INDEX(INSUMOS!$K$5:$K$67,MATCH($B95,INSUMOS!$B$5:$B$67,0)),0))</f>
        <v/>
      </c>
    </row>
    <row r="96">
      <c r="A96" s="7" t="inlineStr">
        <is>
          <t>Semanal Encolado</t>
        </is>
      </c>
      <c r="B96" s="7" t="inlineStr">
        <is>
          <t>Cartón piedra A5</t>
        </is>
      </c>
      <c r="C96" s="7" t="n">
        <v>1</v>
      </c>
      <c r="D96" s="8">
        <f>IF(A96="","",IFERROR(SUMIFS(PRODUCCION!C:C,PRODUCCION!B:B,A96),0))</f>
        <v/>
      </c>
      <c r="E96" s="8">
        <f>IFERROR(C96*D96,0)</f>
        <v/>
      </c>
      <c r="F96" s="10">
        <f>IF(OR($A96="",$B96=""),"",IFERROR($C96*INDEX(INSUMOS!$K$5:$K$67,MATCH($B96,INSUMOS!$B$5:$B$67,0)),0))</f>
        <v/>
      </c>
    </row>
    <row r="97">
      <c r="A97" s="7" t="inlineStr">
        <is>
          <t>Lamina Stickers</t>
        </is>
      </c>
      <c r="B97" s="7" t="inlineStr">
        <is>
          <t>Papel adhesivo Lee</t>
        </is>
      </c>
      <c r="C97" s="7" t="n">
        <v>0.5</v>
      </c>
      <c r="D97" s="8">
        <f>IF(A97="","",IFERROR(SUMIFS(PRODUCCION!C:C,PRODUCCION!B:B,A97),0))</f>
        <v/>
      </c>
      <c r="E97" s="8">
        <f>IFERROR(C97*D97,0)</f>
        <v/>
      </c>
      <c r="F97" s="10">
        <f>IF(OR($A97="",$B97=""),"",IFERROR($C97*INDEX(INSUMOS!$K$5:$K$67,MATCH($B97,INSUMOS!$B$5:$B$67,0)),0))</f>
        <v/>
      </c>
    </row>
    <row r="98">
      <c r="A98" s="7" t="inlineStr">
        <is>
          <t>Lamina Stickers</t>
        </is>
      </c>
      <c r="B98" s="7" t="inlineStr">
        <is>
          <t>Bolsa celofán stickers</t>
        </is>
      </c>
      <c r="C98" s="7" t="n">
        <v>1</v>
      </c>
      <c r="D98" s="8">
        <f>IF(A98="","",IFERROR(SUMIFS(PRODUCCION!C:C,PRODUCCION!B:B,A98),0))</f>
        <v/>
      </c>
      <c r="E98" s="8">
        <f>IFERROR(C98*D98,0)</f>
        <v/>
      </c>
      <c r="F98" s="10">
        <f>IF(OR($A98="",$B98=""),"",IFERROR($C98*INDEX(INSUMOS!$K$5:$K$67,MATCH($B98,INSUMOS!$B$5:$B$67,0)),0))</f>
        <v/>
      </c>
    </row>
    <row r="99">
      <c r="A99" s="7" t="inlineStr">
        <is>
          <t>Marcapagina Iman</t>
        </is>
      </c>
      <c r="B99" s="7" t="inlineStr">
        <is>
          <t>Papel foto adhesivo brillo</t>
        </is>
      </c>
      <c r="C99" s="7" t="n">
        <v>0.125</v>
      </c>
      <c r="D99" s="8">
        <f>IF(A99="","",IFERROR(SUMIFS(PRODUCCION!C:C,PRODUCCION!B:B,A99),0))</f>
        <v/>
      </c>
      <c r="E99" s="8">
        <f>IFERROR(C99*D99,0)</f>
        <v/>
      </c>
      <c r="F99" s="10">
        <f>IF(OR($A99="",$B99=""),"",IFERROR($C99*INDEX(INSUMOS!$K$5:$K$67,MATCH($B99,INSUMOS!$B$5:$B$67,0)),0))</f>
        <v/>
      </c>
    </row>
    <row r="100">
      <c r="A100" s="7" t="inlineStr">
        <is>
          <t>Marcapagina Iman</t>
        </is>
      </c>
      <c r="B100" s="7" t="inlineStr">
        <is>
          <t>Laminado en frío A4 brillo</t>
        </is>
      </c>
      <c r="C100" s="7" t="n">
        <v>0.125</v>
      </c>
      <c r="D100" s="8">
        <f>IF(A100="","",IFERROR(SUMIFS(PRODUCCION!C:C,PRODUCCION!B:B,A100),0))</f>
        <v/>
      </c>
      <c r="E100" s="8">
        <f>IFERROR(C100*D100,0)</f>
        <v/>
      </c>
      <c r="F100" s="10">
        <f>IF(OR($A100="",$B100=""),"",IFERROR($C100*INDEX(INSUMOS!$K$5:$K$67,MATCH($B100,INSUMOS!$B$5:$B$67,0)),0))</f>
        <v/>
      </c>
    </row>
    <row r="101">
      <c r="A101" s="7" t="inlineStr">
        <is>
          <t>Marcapagina Iman</t>
        </is>
      </c>
      <c r="B101" s="7" t="inlineStr">
        <is>
          <t>Imán A4</t>
        </is>
      </c>
      <c r="C101" s="7" t="n">
        <v>0.125</v>
      </c>
      <c r="D101" s="8">
        <f>IF(A101="","",IFERROR(SUMIFS(PRODUCCION!C:C,PRODUCCION!B:B,A101),0))</f>
        <v/>
      </c>
      <c r="E101" s="8">
        <f>IFERROR(C101*D101,0)</f>
        <v/>
      </c>
      <c r="F101" s="10">
        <f>IF(OR($A101="",$B101=""),"",IFERROR($C101*INDEX(INSUMOS!$K$5:$K$67,MATCH($B101,INSUMOS!$B$5:$B$67,0)),0))</f>
        <v/>
      </c>
    </row>
    <row r="102">
      <c r="A102" s="7" t="inlineStr">
        <is>
          <t>Marcapagina Iman</t>
        </is>
      </c>
      <c r="B102" s="7" t="inlineStr">
        <is>
          <t>Bolsa celofán marcapáginas</t>
        </is>
      </c>
      <c r="C102" s="7" t="n">
        <v>1</v>
      </c>
      <c r="D102" s="8">
        <f>IF(A102="","",IFERROR(SUMIFS(PRODUCCION!C:C,PRODUCCION!B:B,A102),0))</f>
        <v/>
      </c>
      <c r="E102" s="8">
        <f>IFERROR(C102*D102,0)</f>
        <v/>
      </c>
      <c r="F102" s="10">
        <f>IF(OR($A102="",$B102=""),"",IFERROR($C102*INDEX(INSUMOS!$K$5:$K$67,MATCH($B102,INSUMOS!$B$5:$B$67,0)),0))</f>
        <v/>
      </c>
    </row>
    <row r="103">
      <c r="A103" s="7" t="inlineStr">
        <is>
          <t>Pack Stickers Suelto</t>
        </is>
      </c>
      <c r="B103" s="7" t="inlineStr">
        <is>
          <t>Papel adhesivo Lee</t>
        </is>
      </c>
      <c r="C103" s="7" t="n">
        <v>0.5</v>
      </c>
      <c r="D103" s="8">
        <f>IF(A103="","",IFERROR(SUMIFS(PRODUCCION!C:C,PRODUCCION!B:B,A103),0))</f>
        <v/>
      </c>
      <c r="E103" s="8">
        <f>IFERROR(C103*D103,0)</f>
        <v/>
      </c>
      <c r="F103" s="10">
        <f>IF(OR($A103="",$B103=""),"",IFERROR($C103*INDEX(INSUMOS!$K$5:$K$67,MATCH($B103,INSUMOS!$B$5:$B$67,0)),0))</f>
        <v/>
      </c>
    </row>
    <row r="104">
      <c r="A104" s="7" t="inlineStr">
        <is>
          <t>Pack Stickers Suelto</t>
        </is>
      </c>
      <c r="B104" s="7" t="inlineStr">
        <is>
          <t>Opalina A4</t>
        </is>
      </c>
      <c r="C104" s="7" t="n">
        <v>0.2</v>
      </c>
      <c r="D104" s="8">
        <f>IF(A104="","",IFERROR(SUMIFS(PRODUCCION!C:C,PRODUCCION!B:B,A104),0))</f>
        <v/>
      </c>
      <c r="E104" s="8">
        <f>IFERROR(C104*D104,0)</f>
        <v/>
      </c>
      <c r="F104" s="10">
        <f>IF(OR($A104="",$B104=""),"",IFERROR($C104*INDEX(INSUMOS!$K$5:$K$67,MATCH($B104,INSUMOS!$B$5:$B$67,0)),0))</f>
        <v/>
      </c>
    </row>
    <row r="105">
      <c r="A105" s="7" t="inlineStr">
        <is>
          <t>Pack Stickers Suelto</t>
        </is>
      </c>
      <c r="B105" s="7" t="inlineStr">
        <is>
          <t>Bolsa celofán marcapáginas</t>
        </is>
      </c>
      <c r="C105" s="7" t="n"/>
      <c r="D105" s="8">
        <f>IF(A105="","",IFERROR(SUMIFS(PRODUCCION!C:C,PRODUCCION!B:B,A105),0))</f>
        <v/>
      </c>
      <c r="E105" s="8">
        <f>IFERROR(C105*D105,0)</f>
        <v/>
      </c>
      <c r="F105" s="10">
        <f>IF(OR($A105="",$B105=""),"",IFERROR($C105*INDEX(INSUMOS!$K$5:$K$67,MATCH($B105,INSUMOS!$B$5:$B$67,0)),0))</f>
        <v/>
      </c>
    </row>
    <row r="106">
      <c r="A106" s="7" t="n"/>
      <c r="B106" s="7" t="n"/>
      <c r="C106" s="7" t="n"/>
      <c r="D106" s="8">
        <f>IF(A106="","",IFERROR(SUMIFS(PRODUCCION!C:C,PRODUCCION!B:B,A106),0))</f>
        <v/>
      </c>
      <c r="E106" s="8">
        <f>IFERROR(C106*D106,0)</f>
        <v/>
      </c>
      <c r="F106" s="10">
        <f>IF(OR($A106="",$B106=""),"",IFERROR($C106*INDEX(INSUMOS!$K$5:$K$67,MATCH($B106,INSUMOS!$B$5:$B$67,0)),0))</f>
        <v/>
      </c>
    </row>
    <row r="107">
      <c r="A107" s="7" t="n"/>
      <c r="B107" s="7" t="n"/>
      <c r="C107" s="7" t="n"/>
      <c r="D107" s="8">
        <f>IF(A107="","",IFERROR(SUMIFS(PRODUCCION!C:C,PRODUCCION!B:B,A107),0))</f>
        <v/>
      </c>
      <c r="E107" s="8">
        <f>IFERROR(C107*D107,0)</f>
        <v/>
      </c>
      <c r="F107" s="10">
        <f>IF(OR($A107="",$B107=""),"",IFERROR($C107*INDEX(INSUMOS!$K$5:$K$67,MATCH($B107,INSUMOS!$B$5:$B$67,0)),0))</f>
        <v/>
      </c>
    </row>
    <row r="108">
      <c r="A108" s="7" t="n"/>
      <c r="B108" s="7" t="n"/>
      <c r="C108" s="7" t="n"/>
      <c r="D108" s="8">
        <f>IF(A108="","",IFERROR(SUMIFS(PRODUCCION!C:C,PRODUCCION!B:B,A108),0))</f>
        <v/>
      </c>
      <c r="E108" s="8">
        <f>IFERROR(C108*D108,0)</f>
        <v/>
      </c>
      <c r="F108" s="10">
        <f>IF(OR($A108="",$B108=""),"",IFERROR($C108*INDEX(INSUMOS!$K$5:$K$67,MATCH($B108,INSUMOS!$B$5:$B$67,0)),0))</f>
        <v/>
      </c>
    </row>
    <row r="109">
      <c r="A109" s="7" t="n"/>
      <c r="B109" s="7" t="n"/>
      <c r="C109" s="7" t="n"/>
      <c r="D109" s="8">
        <f>IF(A109="","",IFERROR(SUMIFS(PRODUCCION!C:C,PRODUCCION!B:B,A109),0))</f>
        <v/>
      </c>
      <c r="E109" s="8">
        <f>IFERROR(C109*D109,0)</f>
        <v/>
      </c>
      <c r="F109" s="10">
        <f>IF(OR($A109="",$B109=""),"",IFERROR($C109*INDEX(INSUMOS!$K$5:$K$67,MATCH($B109,INSUMOS!$B$5:$B$67,0)),0))</f>
        <v/>
      </c>
    </row>
    <row r="110">
      <c r="A110" s="7" t="n"/>
      <c r="B110" s="7" t="n"/>
      <c r="C110" s="7" t="n"/>
      <c r="D110" s="8">
        <f>IF(A110="","",IFERROR(SUMIFS(PRODUCCION!C:C,PRODUCCION!B:B,A110),0))</f>
        <v/>
      </c>
      <c r="E110" s="8">
        <f>IFERROR(C110*D110,0)</f>
        <v/>
      </c>
      <c r="F110" s="10">
        <f>IF(OR($A110="",$B110=""),"",IFERROR($C110*INDEX(INSUMOS!$K$5:$K$67,MATCH($B110,INSUMOS!$B$5:$B$67,0)),0))</f>
        <v/>
      </c>
    </row>
    <row r="111">
      <c r="A111" s="7" t="n"/>
      <c r="B111" s="7" t="n"/>
      <c r="C111" s="7" t="n"/>
      <c r="D111" s="8">
        <f>IF(A111="","",IFERROR(SUMIFS(PRODUCCION!C:C,PRODUCCION!B:B,A111),0))</f>
        <v/>
      </c>
      <c r="E111" s="8">
        <f>IFERROR(C111*D111,0)</f>
        <v/>
      </c>
      <c r="F111" s="10">
        <f>IF(OR($A111="",$B111=""),"",IFERROR($C111*INDEX(INSUMOS!$K$5:$K$67,MATCH($B111,INSUMOS!$B$5:$B$67,0)),0))</f>
        <v/>
      </c>
    </row>
    <row r="112">
      <c r="A112" s="7" t="n"/>
      <c r="B112" s="7" t="n"/>
      <c r="C112" s="7" t="n"/>
      <c r="D112" s="8">
        <f>IF(A112="","",IFERROR(SUMIFS(PRODUCCION!C:C,PRODUCCION!B:B,A112),0))</f>
        <v/>
      </c>
      <c r="E112" s="8">
        <f>IFERROR(C112*D112,0)</f>
        <v/>
      </c>
      <c r="F112" s="10">
        <f>IF(OR($A112="",$B112=""),"",IFERROR($C112*INDEX(INSUMOS!$K$5:$K$67,MATCH($B112,INSUMOS!$B$5:$B$67,0)),0))</f>
        <v/>
      </c>
    </row>
    <row r="113">
      <c r="A113" s="7" t="n"/>
      <c r="B113" s="7" t="n"/>
      <c r="C113" s="7" t="n"/>
      <c r="D113" s="8">
        <f>IF(A113="","",IFERROR(SUMIFS(PRODUCCION!C:C,PRODUCCION!B:B,A113),0))</f>
        <v/>
      </c>
      <c r="E113" s="8">
        <f>IFERROR(C113*D113,0)</f>
        <v/>
      </c>
      <c r="F113" s="10">
        <f>IF(OR($A113="",$B113=""),"",IFERROR($C113*INDEX(INSUMOS!$K$5:$K$67,MATCH($B113,INSUMOS!$B$5:$B$67,0)),0))</f>
        <v/>
      </c>
    </row>
    <row r="114">
      <c r="A114" s="7" t="n"/>
      <c r="B114" s="7" t="n"/>
      <c r="C114" s="7" t="n"/>
      <c r="D114" s="8">
        <f>IF(A114="","",IFERROR(SUMIFS(PRODUCCION!C:C,PRODUCCION!B:B,A114),0))</f>
        <v/>
      </c>
      <c r="E114" s="8">
        <f>IFERROR(C114*D114,0)</f>
        <v/>
      </c>
      <c r="F114" s="10">
        <f>IF(OR($A114="",$B114=""),"",IFERROR($C114*INDEX(INSUMOS!$K$5:$K$67,MATCH($B114,INSUMOS!$B$5:$B$67,0)),0))</f>
        <v/>
      </c>
    </row>
    <row r="115">
      <c r="A115" s="7" t="n"/>
      <c r="B115" s="7" t="n"/>
      <c r="C115" s="7" t="n"/>
      <c r="D115" s="8">
        <f>IF(A115="","",IFERROR(SUMIFS(PRODUCCION!C:C,PRODUCCION!B:B,A115),0))</f>
        <v/>
      </c>
      <c r="E115" s="8">
        <f>IFERROR(C115*D115,0)</f>
        <v/>
      </c>
      <c r="F115" s="10">
        <f>IF(OR($A115="",$B115=""),"",IFERROR($C115*INDEX(INSUMOS!$K$5:$K$67,MATCH($B115,INSUMOS!$B$5:$B$67,0)),0))</f>
        <v/>
      </c>
    </row>
    <row r="116">
      <c r="A116" s="7" t="n"/>
      <c r="B116" s="7" t="n"/>
      <c r="C116" s="7" t="n"/>
      <c r="D116" s="8">
        <f>IF(A116="","",IFERROR(SUMIFS(PRODUCCION!C:C,PRODUCCION!B:B,A116),0))</f>
        <v/>
      </c>
      <c r="E116" s="8">
        <f>IFERROR(C116*D116,0)</f>
        <v/>
      </c>
      <c r="F116" s="10">
        <f>IF(OR($A116="",$B116=""),"",IFERROR($C116*INDEX(INSUMOS!$K$5:$K$67,MATCH($B116,INSUMOS!$B$5:$B$67,0)),0))</f>
        <v/>
      </c>
    </row>
    <row r="117">
      <c r="A117" s="7" t="n"/>
      <c r="B117" s="7" t="n"/>
      <c r="C117" s="7" t="n"/>
      <c r="D117" s="8">
        <f>IF(A117="","",IFERROR(SUMIFS(PRODUCCION!C:C,PRODUCCION!B:B,A117),0))</f>
        <v/>
      </c>
      <c r="E117" s="8">
        <f>IFERROR(C117*D117,0)</f>
        <v/>
      </c>
      <c r="F117" s="10">
        <f>IF(OR($A117="",$B117=""),"",IFERROR($C117*INDEX(INSUMOS!$K$5:$K$67,MATCH($B117,INSUMOS!$B$5:$B$67,0)),0))</f>
        <v/>
      </c>
    </row>
    <row r="118">
      <c r="A118" s="7" t="n"/>
      <c r="B118" s="7" t="n"/>
      <c r="C118" s="7" t="n"/>
      <c r="D118" s="8">
        <f>IF(A118="","",IFERROR(SUMIFS(PRODUCCION!C:C,PRODUCCION!B:B,A118),0))</f>
        <v/>
      </c>
      <c r="E118" s="8">
        <f>IFERROR(C118*D118,0)</f>
        <v/>
      </c>
      <c r="F118" s="10">
        <f>IF(OR($A118="",$B118=""),"",IFERROR($C118*INDEX(INSUMOS!$K$5:$K$67,MATCH($B118,INSUMOS!$B$5:$B$67,0)),0))</f>
        <v/>
      </c>
    </row>
    <row r="119">
      <c r="A119" s="7" t="n"/>
      <c r="B119" s="7" t="n"/>
      <c r="C119" s="7" t="n"/>
      <c r="D119" s="8">
        <f>IF(A119="","",IFERROR(SUMIFS(PRODUCCION!C:C,PRODUCCION!B:B,A119),0))</f>
        <v/>
      </c>
      <c r="E119" s="8">
        <f>IFERROR(C119*D119,0)</f>
        <v/>
      </c>
      <c r="F119" s="10">
        <f>IF(OR($A119="",$B119=""),"",IFERROR($C119*INDEX(INSUMOS!$K$5:$K$67,MATCH($B119,INSUMOS!$B$5:$B$67,0)),0))</f>
        <v/>
      </c>
    </row>
    <row r="120">
      <c r="A120" s="7" t="n"/>
      <c r="B120" s="7" t="n"/>
      <c r="C120" s="7" t="n"/>
      <c r="D120" s="8">
        <f>IF(A120="","",IFERROR(SUMIFS(PRODUCCION!C:C,PRODUCCION!B:B,A120),0))</f>
        <v/>
      </c>
      <c r="E120" s="8">
        <f>IFERROR(C120*D120,0)</f>
        <v/>
      </c>
      <c r="F120" s="10">
        <f>IF(OR($A120="",$B120=""),"",IFERROR($C120*INDEX(INSUMOS!$K$5:$K$67,MATCH($B120,INSUMOS!$B$5:$B$67,0)),0))</f>
        <v/>
      </c>
    </row>
    <row r="121">
      <c r="A121" s="7" t="n"/>
      <c r="B121" s="7" t="n"/>
      <c r="C121" s="7" t="n"/>
      <c r="D121" s="8">
        <f>IF(A121="","",IFERROR(SUMIFS(PRODUCCION!C:C,PRODUCCION!B:B,A121),0))</f>
        <v/>
      </c>
      <c r="E121" s="8">
        <f>IFERROR(C121*D121,0)</f>
        <v/>
      </c>
      <c r="F121" s="10">
        <f>IF(OR($A121="",$B121=""),"",IFERROR($C121*INDEX(INSUMOS!$K$5:$K$67,MATCH($B121,INSUMOS!$B$5:$B$67,0)),0))</f>
        <v/>
      </c>
    </row>
    <row r="122">
      <c r="A122" s="7" t="n"/>
      <c r="B122" s="7" t="n"/>
      <c r="C122" s="7" t="n"/>
      <c r="D122" s="8">
        <f>IF(A122="","",IFERROR(SUMIFS(PRODUCCION!C:C,PRODUCCION!B:B,A122),0))</f>
        <v/>
      </c>
      <c r="E122" s="8">
        <f>IFERROR(C122*D122,0)</f>
        <v/>
      </c>
      <c r="F122" s="10">
        <f>IF(OR($A122="",$B122=""),"",IFERROR($C122*INDEX(INSUMOS!$K$5:$K$67,MATCH($B122,INSUMOS!$B$5:$B$67,0)),0))</f>
        <v/>
      </c>
    </row>
    <row r="123">
      <c r="A123" s="7" t="n"/>
      <c r="B123" s="7" t="n"/>
      <c r="C123" s="7" t="n"/>
      <c r="D123" s="8">
        <f>IF(A123="","",IFERROR(SUMIFS(PRODUCCION!C:C,PRODUCCION!B:B,A123),0))</f>
        <v/>
      </c>
      <c r="E123" s="8">
        <f>IFERROR(C123*D123,0)</f>
        <v/>
      </c>
      <c r="F123" s="10">
        <f>IF(OR($A123="",$B123=""),"",IFERROR($C123*INDEX(INSUMOS!$K$5:$K$67,MATCH($B123,INSUMOS!$B$5:$B$67,0)),0))</f>
        <v/>
      </c>
    </row>
    <row r="124">
      <c r="A124" s="7" t="n"/>
      <c r="B124" s="7" t="n"/>
      <c r="C124" s="7" t="n"/>
      <c r="D124" s="8">
        <f>IF(A124="","",IFERROR(SUMIFS(PRODUCCION!C:C,PRODUCCION!B:B,A124),0))</f>
        <v/>
      </c>
      <c r="E124" s="8">
        <f>IFERROR(C124*D124,0)</f>
        <v/>
      </c>
      <c r="F124" s="10">
        <f>IF(OR($A124="",$B124=""),"",IFERROR($C124*INDEX(INSUMOS!$K$5:$K$67,MATCH($B124,INSUMOS!$B$5:$B$67,0)),0))</f>
        <v/>
      </c>
    </row>
    <row r="125">
      <c r="A125" s="7" t="n"/>
      <c r="B125" s="7" t="n"/>
      <c r="C125" s="7" t="n"/>
      <c r="D125" s="8">
        <f>IF(A125="","",IFERROR(SUMIFS(PRODUCCION!C:C,PRODUCCION!B:B,A125),0))</f>
        <v/>
      </c>
      <c r="E125" s="8">
        <f>IFERROR(C125*D125,0)</f>
        <v/>
      </c>
      <c r="F125" s="10">
        <f>IF(OR($A125="",$B125=""),"",IFERROR($C125*INDEX(INSUMOS!$K$5:$K$67,MATCH($B125,INSUMOS!$B$5:$B$67,0)),0))</f>
        <v/>
      </c>
    </row>
    <row r="126">
      <c r="A126" s="7" t="n"/>
      <c r="B126" s="7" t="n"/>
      <c r="C126" s="7" t="n"/>
      <c r="D126" s="8">
        <f>IF(A126="","",IFERROR(SUMIFS(PRODUCCION!C:C,PRODUCCION!B:B,A126),0))</f>
        <v/>
      </c>
      <c r="E126" s="8">
        <f>IFERROR(C126*D126,0)</f>
        <v/>
      </c>
      <c r="F126" s="10">
        <f>IF(OR($A126="",$B126=""),"",IFERROR($C126*INDEX(INSUMOS!$K$5:$K$67,MATCH($B126,INSUMOS!$B$5:$B$67,0)),0))</f>
        <v/>
      </c>
    </row>
    <row r="127">
      <c r="A127" s="7" t="n"/>
      <c r="B127" s="7" t="n"/>
      <c r="C127" s="7" t="n"/>
      <c r="D127" s="8">
        <f>IF(A127="","",IFERROR(SUMIFS(PRODUCCION!C:C,PRODUCCION!B:B,A127),0))</f>
        <v/>
      </c>
      <c r="E127" s="8">
        <f>IFERROR(C127*D127,0)</f>
        <v/>
      </c>
      <c r="F127" s="10">
        <f>IF(OR($A127="",$B127=""),"",IFERROR($C127*INDEX(INSUMOS!$K$5:$K$67,MATCH($B127,INSUMOS!$B$5:$B$67,0)),0))</f>
        <v/>
      </c>
    </row>
    <row r="128">
      <c r="A128" s="7" t="n"/>
      <c r="B128" s="7" t="n"/>
      <c r="C128" s="7" t="n"/>
      <c r="D128" s="8">
        <f>IF(A128="","",IFERROR(SUMIFS(PRODUCCION!C:C,PRODUCCION!B:B,A128),0))</f>
        <v/>
      </c>
      <c r="E128" s="8">
        <f>IFERROR(C128*D128,0)</f>
        <v/>
      </c>
      <c r="F128" s="10">
        <f>IF(OR($A128="",$B128=""),"",IFERROR($C128*INDEX(INSUMOS!$K$5:$K$67,MATCH($B128,INSUMOS!$B$5:$B$67,0)),0))</f>
        <v/>
      </c>
    </row>
    <row r="129">
      <c r="A129" s="7" t="n"/>
      <c r="B129" s="7" t="n"/>
      <c r="C129" s="7" t="n"/>
      <c r="D129" s="8">
        <f>IF(A129="","",IFERROR(SUMIFS(PRODUCCION!C:C,PRODUCCION!B:B,A129),0))</f>
        <v/>
      </c>
      <c r="E129" s="8">
        <f>IFERROR(C129*D129,0)</f>
        <v/>
      </c>
      <c r="F129" s="10">
        <f>IF(OR($A129="",$B129=""),"",IFERROR($C129*INDEX(INSUMOS!$K$5:$K$67,MATCH($B129,INSUMOS!$B$5:$B$67,0)),0))</f>
        <v/>
      </c>
    </row>
    <row r="130">
      <c r="A130" s="7" t="n"/>
      <c r="B130" s="7" t="n"/>
      <c r="C130" s="7" t="n"/>
      <c r="D130" s="8">
        <f>IF(A130="","",IFERROR(SUMIFS(PRODUCCION!C:C,PRODUCCION!B:B,A130),0))</f>
        <v/>
      </c>
      <c r="E130" s="8">
        <f>IFERROR(C130*D130,0)</f>
        <v/>
      </c>
      <c r="F130" s="10">
        <f>IF(OR($A130="",$B130=""),"",IFERROR($C130*INDEX(INSUMOS!$K$5:$K$67,MATCH($B130,INSUMOS!$B$5:$B$67,0)),0))</f>
        <v/>
      </c>
    </row>
    <row r="131">
      <c r="A131" s="7" t="n"/>
      <c r="B131" s="7" t="n"/>
      <c r="C131" s="7" t="n"/>
      <c r="D131" s="8">
        <f>IF(A131="","",IFERROR(SUMIFS(PRODUCCION!C:C,PRODUCCION!B:B,A131),0))</f>
        <v/>
      </c>
      <c r="E131" s="8">
        <f>IFERROR(C131*D131,0)</f>
        <v/>
      </c>
      <c r="F131" s="10">
        <f>IF(OR($A131="",$B131=""),"",IFERROR($C131*INDEX(INSUMOS!$K$5:$K$67,MATCH($B131,INSUMOS!$B$5:$B$67,0)),0))</f>
        <v/>
      </c>
    </row>
    <row r="132">
      <c r="A132" s="7" t="n"/>
      <c r="B132" s="7" t="n"/>
      <c r="C132" s="7" t="n"/>
      <c r="D132" s="8">
        <f>IF(A132="","",IFERROR(SUMIFS(PRODUCCION!C:C,PRODUCCION!B:B,A132),0))</f>
        <v/>
      </c>
      <c r="E132" s="8">
        <f>IFERROR(C132*D132,0)</f>
        <v/>
      </c>
      <c r="F132" s="10">
        <f>IF(OR($A132="",$B132=""),"",IFERROR($C132*INDEX(INSUMOS!$K$5:$K$67,MATCH($B132,INSUMOS!$B$5:$B$67,0)),0))</f>
        <v/>
      </c>
    </row>
    <row r="133">
      <c r="A133" s="7" t="n"/>
      <c r="B133" s="7" t="n"/>
      <c r="C133" s="7" t="n"/>
      <c r="D133" s="8">
        <f>IF(A133="","",IFERROR(SUMIFS(PRODUCCION!C:C,PRODUCCION!B:B,A133),0))</f>
        <v/>
      </c>
      <c r="E133" s="8">
        <f>IFERROR(C133*D133,0)</f>
        <v/>
      </c>
      <c r="F133" s="10">
        <f>IF(OR($A133="",$B133=""),"",IFERROR($C133*INDEX(INSUMOS!$K$5:$K$67,MATCH($B133,INSUMOS!$B$5:$B$67,0)),0))</f>
        <v/>
      </c>
    </row>
    <row r="134">
      <c r="A134" s="7" t="n"/>
      <c r="B134" s="7" t="n"/>
      <c r="C134" s="7" t="n"/>
      <c r="D134" s="8">
        <f>IF(A134="","",IFERROR(SUMIFS(PRODUCCION!C:C,PRODUCCION!B:B,A134),0))</f>
        <v/>
      </c>
      <c r="E134" s="8">
        <f>IFERROR(C134*D134,0)</f>
        <v/>
      </c>
      <c r="F134" s="10">
        <f>IF(OR($A134="",$B134=""),"",IFERROR($C134*INDEX(INSUMOS!$K$5:$K$67,MATCH($B134,INSUMOS!$B$5:$B$67,0)),0))</f>
        <v/>
      </c>
    </row>
    <row r="135">
      <c r="A135" s="7" t="n"/>
      <c r="B135" s="7" t="n"/>
      <c r="C135" s="7" t="n"/>
      <c r="D135" s="8">
        <f>IF(A135="","",IFERROR(SUMIFS(PRODUCCION!C:C,PRODUCCION!B:B,A135),0))</f>
        <v/>
      </c>
      <c r="E135" s="8">
        <f>IFERROR(C135*D135,0)</f>
        <v/>
      </c>
      <c r="F135" s="10">
        <f>IF(OR($A135="",$B135=""),"",IFERROR($C135*INDEX(INSUMOS!$K$5:$K$67,MATCH($B135,INSUMOS!$B$5:$B$67,0)),0))</f>
        <v/>
      </c>
    </row>
    <row r="136">
      <c r="A136" s="7" t="n"/>
      <c r="B136" s="7" t="n"/>
      <c r="C136" s="7" t="n"/>
      <c r="D136" s="8">
        <f>IF(A136="","",IFERROR(SUMIFS(PRODUCCION!C:C,PRODUCCION!B:B,A136),0))</f>
        <v/>
      </c>
      <c r="E136" s="8">
        <f>IFERROR(C136*D136,0)</f>
        <v/>
      </c>
      <c r="F136" s="10">
        <f>IF(OR($A136="",$B136=""),"",IFERROR($C136*INDEX(INSUMOS!$K$5:$K$67,MATCH($B136,INSUMOS!$B$5:$B$67,0)),0))</f>
        <v/>
      </c>
    </row>
    <row r="137">
      <c r="A137" s="7" t="n"/>
      <c r="B137" s="7" t="n"/>
      <c r="C137" s="7" t="n"/>
      <c r="D137" s="8">
        <f>IF(A137="","",IFERROR(SUMIFS(PRODUCCION!C:C,PRODUCCION!B:B,A137),0))</f>
        <v/>
      </c>
      <c r="E137" s="8">
        <f>IFERROR(C137*D137,0)</f>
        <v/>
      </c>
      <c r="F137" s="10">
        <f>IF(OR($A137="",$B137=""),"",IFERROR($C137*INDEX(INSUMOS!$K$5:$K$67,MATCH($B137,INSUMOS!$B$5:$B$67,0)),0))</f>
        <v/>
      </c>
    </row>
    <row r="138">
      <c r="A138" s="7" t="n"/>
      <c r="B138" s="7" t="n"/>
      <c r="C138" s="7" t="n"/>
      <c r="D138" s="8">
        <f>IF(A138="","",IFERROR(SUMIFS(PRODUCCION!C:C,PRODUCCION!B:B,A138),0))</f>
        <v/>
      </c>
      <c r="E138" s="8">
        <f>IFERROR(C138*D138,0)</f>
        <v/>
      </c>
      <c r="F138" s="10">
        <f>IF(OR($A138="",$B138=""),"",IFERROR($C138*INDEX(INSUMOS!$K$5:$K$67,MATCH($B138,INSUMOS!$B$5:$B$67,0)),0))</f>
        <v/>
      </c>
    </row>
    <row r="139">
      <c r="A139" s="7" t="n"/>
      <c r="B139" s="7" t="n"/>
      <c r="C139" s="7" t="n"/>
      <c r="D139" s="8">
        <f>IF(A139="","",IFERROR(SUMIFS(PRODUCCION!C:C,PRODUCCION!B:B,A139),0))</f>
        <v/>
      </c>
      <c r="E139" s="8">
        <f>IFERROR(C139*D139,0)</f>
        <v/>
      </c>
      <c r="F139" s="10">
        <f>IF(OR($A139="",$B139=""),"",IFERROR($C139*INDEX(INSUMOS!$K$5:$K$67,MATCH($B139,INSUMOS!$B$5:$B$67,0)),0))</f>
        <v/>
      </c>
    </row>
    <row r="140">
      <c r="A140" s="7" t="n"/>
      <c r="B140" s="7" t="n"/>
      <c r="C140" s="7" t="n"/>
      <c r="D140" s="8">
        <f>IF(A140="","",IFERROR(SUMIFS(PRODUCCION!C:C,PRODUCCION!B:B,A140),0))</f>
        <v/>
      </c>
      <c r="E140" s="8">
        <f>IFERROR(C140*D140,0)</f>
        <v/>
      </c>
      <c r="F140" s="10">
        <f>IF(OR($A140="",$B140=""),"",IFERROR($C140*INDEX(INSUMOS!$K$5:$K$67,MATCH($B140,INSUMOS!$B$5:$B$67,0)),0))</f>
        <v/>
      </c>
    </row>
    <row r="141">
      <c r="A141" s="7" t="n"/>
      <c r="B141" s="7" t="n"/>
      <c r="C141" s="7" t="n"/>
      <c r="D141" s="8">
        <f>IF(A141="","",IFERROR(SUMIFS(PRODUCCION!C:C,PRODUCCION!B:B,A141),0))</f>
        <v/>
      </c>
      <c r="E141" s="8">
        <f>IFERROR(C141*D141,0)</f>
        <v/>
      </c>
      <c r="F141" s="10">
        <f>IF(OR($A141="",$B141=""),"",IFERROR($C141*INDEX(INSUMOS!$K$5:$K$67,MATCH($B141,INSUMOS!$B$5:$B$67,0)),0))</f>
        <v/>
      </c>
    </row>
    <row r="142">
      <c r="A142" s="7" t="n"/>
      <c r="B142" s="7" t="n"/>
      <c r="C142" s="7" t="n"/>
      <c r="D142" s="8">
        <f>IF(A142="","",IFERROR(SUMIFS(PRODUCCION!C:C,PRODUCCION!B:B,A142),0))</f>
        <v/>
      </c>
      <c r="E142" s="8">
        <f>IFERROR(C142*D142,0)</f>
        <v/>
      </c>
      <c r="F142" s="10">
        <f>IF(OR($A142="",$B142=""),"",IFERROR($C142*INDEX(INSUMOS!$K$5:$K$67,MATCH($B142,INSUMOS!$B$5:$B$67,0)),0))</f>
        <v/>
      </c>
    </row>
    <row r="143">
      <c r="A143" s="7" t="n"/>
      <c r="B143" s="7" t="n"/>
      <c r="C143" s="7" t="n"/>
      <c r="D143" s="8">
        <f>IF(A143="","",IFERROR(SUMIFS(PRODUCCION!C:C,PRODUCCION!B:B,A143),0))</f>
        <v/>
      </c>
      <c r="E143" s="8">
        <f>IFERROR(C143*D143,0)</f>
        <v/>
      </c>
      <c r="F143" s="10">
        <f>IF(OR($A143="",$B143=""),"",IFERROR($C143*INDEX(INSUMOS!$K$5:$K$67,MATCH($B143,INSUMOS!$B$5:$B$67,0)),0))</f>
        <v/>
      </c>
    </row>
    <row r="144">
      <c r="A144" s="7" t="n"/>
      <c r="B144" s="7" t="n"/>
      <c r="C144" s="7" t="n"/>
      <c r="D144" s="8">
        <f>IF(A144="","",IFERROR(SUMIFS(PRODUCCION!C:C,PRODUCCION!B:B,A144),0))</f>
        <v/>
      </c>
      <c r="E144" s="8">
        <f>IFERROR(C144*D144,0)</f>
        <v/>
      </c>
      <c r="F144" s="10">
        <f>IF(OR($A144="",$B144=""),"",IFERROR($C144*INDEX(INSUMOS!$K$5:$K$67,MATCH($B144,INSUMOS!$B$5:$B$67,0)),0))</f>
        <v/>
      </c>
    </row>
    <row r="145">
      <c r="A145" s="7" t="n"/>
      <c r="B145" s="7" t="n"/>
      <c r="C145" s="7" t="n"/>
      <c r="D145" s="8">
        <f>IF(A145="","",IFERROR(SUMIFS(PRODUCCION!C:C,PRODUCCION!B:B,A145),0))</f>
        <v/>
      </c>
      <c r="E145" s="8">
        <f>IFERROR(C145*D145,0)</f>
        <v/>
      </c>
      <c r="F145" s="10">
        <f>IF(OR($A145="",$B145=""),"",IFERROR($C145*INDEX(INSUMOS!$K$5:$K$67,MATCH($B145,INSUMOS!$B$5:$B$67,0)),0))</f>
        <v/>
      </c>
    </row>
    <row r="146">
      <c r="A146" s="7" t="n"/>
      <c r="B146" s="7" t="n"/>
      <c r="C146" s="7" t="n"/>
      <c r="D146" s="8">
        <f>IF(A146="","",IFERROR(SUMIFS(PRODUCCION!C:C,PRODUCCION!B:B,A146),0))</f>
        <v/>
      </c>
      <c r="E146" s="8">
        <f>IFERROR(C146*D146,0)</f>
        <v/>
      </c>
      <c r="F146" s="10">
        <f>IF(OR($A146="",$B146=""),"",IFERROR($C146*INDEX(INSUMOS!$K$5:$K$67,MATCH($B146,INSUMOS!$B$5:$B$67,0)),0))</f>
        <v/>
      </c>
    </row>
    <row r="147">
      <c r="A147" s="7" t="n"/>
      <c r="B147" s="7" t="n"/>
      <c r="C147" s="7" t="n"/>
      <c r="D147" s="8">
        <f>IF(A147="","",IFERROR(SUMIFS(PRODUCCION!C:C,PRODUCCION!B:B,A147),0))</f>
        <v/>
      </c>
      <c r="E147" s="8">
        <f>IFERROR(C147*D147,0)</f>
        <v/>
      </c>
      <c r="F147" s="10">
        <f>IF(OR($A147="",$B147=""),"",IFERROR($C147*INDEX(INSUMOS!$K$5:$K$67,MATCH($B147,INSUMOS!$B$5:$B$67,0)),0))</f>
        <v/>
      </c>
    </row>
    <row r="148">
      <c r="A148" s="7" t="n"/>
      <c r="B148" s="7" t="n"/>
      <c r="C148" s="7" t="n"/>
      <c r="D148" s="8">
        <f>IF(A148="","",IFERROR(SUMIFS(PRODUCCION!C:C,PRODUCCION!B:B,A148),0))</f>
        <v/>
      </c>
      <c r="E148" s="8">
        <f>IFERROR(C148*D148,0)</f>
        <v/>
      </c>
      <c r="F148" s="10">
        <f>IF(OR($A148="",$B148=""),"",IFERROR($C148*INDEX(INSUMOS!$K$5:$K$67,MATCH($B148,INSUMOS!$B$5:$B$67,0)),0))</f>
        <v/>
      </c>
    </row>
    <row r="149">
      <c r="A149" s="7" t="n"/>
      <c r="B149" s="7" t="n"/>
      <c r="C149" s="7" t="n"/>
      <c r="D149" s="8">
        <f>IF(A149="","",IFERROR(SUMIFS(PRODUCCION!C:C,PRODUCCION!B:B,A149),0))</f>
        <v/>
      </c>
      <c r="E149" s="8">
        <f>IFERROR(C149*D149,0)</f>
        <v/>
      </c>
      <c r="F149" s="10">
        <f>IF(OR($A149="",$B149=""),"",IFERROR($C149*INDEX(INSUMOS!$K$5:$K$67,MATCH($B149,INSUMOS!$B$5:$B$67,0)),0))</f>
        <v/>
      </c>
    </row>
    <row r="150">
      <c r="A150" s="7" t="n"/>
      <c r="B150" s="7" t="n"/>
      <c r="C150" s="7" t="n"/>
      <c r="D150" s="8">
        <f>IF(A150="","",IFERROR(SUMIFS(PRODUCCION!C:C,PRODUCCION!B:B,A150),0))</f>
        <v/>
      </c>
      <c r="E150" s="8">
        <f>IFERROR(C150*D150,0)</f>
        <v/>
      </c>
      <c r="F150" s="10">
        <f>IF(OR($A150="",$B150=""),"",IFERROR($C150*INDEX(INSUMOS!$K$5:$K$67,MATCH($B150,INSUMOS!$B$5:$B$67,0)),0))</f>
        <v/>
      </c>
    </row>
    <row r="151">
      <c r="A151" s="7" t="n"/>
      <c r="B151" s="7" t="n"/>
      <c r="C151" s="7" t="n"/>
      <c r="D151" s="8">
        <f>IF(A151="","",IFERROR(SUMIFS(PRODUCCION!C:C,PRODUCCION!B:B,A151),0))</f>
        <v/>
      </c>
      <c r="E151" s="8">
        <f>IFERROR(C151*D151,0)</f>
        <v/>
      </c>
      <c r="F151" s="10">
        <f>IF(OR($A151="",$B151=""),"",IFERROR($C151*INDEX(INSUMOS!$K$5:$K$67,MATCH($B151,INSUMOS!$B$5:$B$67,0)),0))</f>
        <v/>
      </c>
    </row>
    <row r="152">
      <c r="A152" s="7" t="n"/>
      <c r="B152" s="7" t="n"/>
      <c r="C152" s="7" t="n"/>
      <c r="D152" s="8">
        <f>IF(A152="","",IFERROR(SUMIFS(PRODUCCION!C:C,PRODUCCION!B:B,A152),0))</f>
        <v/>
      </c>
      <c r="E152" s="8">
        <f>IFERROR(C152*D152,0)</f>
        <v/>
      </c>
      <c r="F152" s="10">
        <f>IF(OR($A152="",$B152=""),"",IFERROR($C152*INDEX(INSUMOS!$K$5:$K$67,MATCH($B152,INSUMOS!$B$5:$B$67,0)),0))</f>
        <v/>
      </c>
    </row>
    <row r="153">
      <c r="A153" s="7" t="n"/>
      <c r="B153" s="7" t="n"/>
      <c r="C153" s="7" t="n"/>
      <c r="D153" s="8">
        <f>IF(A153="","",IFERROR(SUMIFS(PRODUCCION!C:C,PRODUCCION!B:B,A153),0))</f>
        <v/>
      </c>
      <c r="E153" s="8">
        <f>IFERROR(C153*D153,0)</f>
        <v/>
      </c>
      <c r="F153" s="10">
        <f>IF(OR($A153="",$B153=""),"",IFERROR($C153*INDEX(INSUMOS!$K$5:$K$67,MATCH($B153,INSUMOS!$B$5:$B$67,0)),0))</f>
        <v/>
      </c>
    </row>
    <row r="154">
      <c r="A154" s="7" t="n"/>
      <c r="B154" s="7" t="n"/>
      <c r="C154" s="7" t="n"/>
      <c r="D154" s="8">
        <f>IF(A154="","",IFERROR(SUMIFS(PRODUCCION!C:C,PRODUCCION!B:B,A154),0))</f>
        <v/>
      </c>
      <c r="E154" s="8">
        <f>IFERROR(C154*D154,0)</f>
        <v/>
      </c>
      <c r="F154" s="10">
        <f>IF(OR($A154="",$B154=""),"",IFERROR($C154*INDEX(INSUMOS!$K$5:$K$67,MATCH($B154,INSUMOS!$B$5:$B$67,0)),0))</f>
        <v/>
      </c>
    </row>
    <row r="155">
      <c r="A155" s="7" t="n"/>
      <c r="B155" s="7" t="n"/>
      <c r="C155" s="7" t="n"/>
      <c r="D155" s="8">
        <f>IF(A155="","",IFERROR(SUMIFS(PRODUCCION!C:C,PRODUCCION!B:B,A155),0))</f>
        <v/>
      </c>
      <c r="E155" s="8">
        <f>IFERROR(C155*D155,0)</f>
        <v/>
      </c>
      <c r="F155" s="10">
        <f>IF(OR($A155="",$B155=""),"",IFERROR($C155*INDEX(INSUMOS!$K$5:$K$67,MATCH($B155,INSUMOS!$B$5:$B$67,0)),0))</f>
        <v/>
      </c>
    </row>
    <row r="156">
      <c r="A156" s="7" t="n"/>
      <c r="B156" s="7" t="n"/>
      <c r="C156" s="7" t="n"/>
      <c r="D156" s="8">
        <f>IF(A156="","",IFERROR(SUMIFS(PRODUCCION!C:C,PRODUCCION!B:B,A156),0))</f>
        <v/>
      </c>
      <c r="E156" s="8">
        <f>IFERROR(C156*D156,0)</f>
        <v/>
      </c>
      <c r="F156" s="10">
        <f>IF(OR($A156="",$B156=""),"",IFERROR($C156*INDEX(INSUMOS!$K$5:$K$67,MATCH($B156,INSUMOS!$B$5:$B$67,0)),0))</f>
        <v/>
      </c>
    </row>
    <row r="157">
      <c r="A157" s="7" t="n"/>
      <c r="B157" s="7" t="n"/>
      <c r="C157" s="7" t="n"/>
      <c r="D157" s="8">
        <f>IF(A157="","",IFERROR(SUMIFS(PRODUCCION!C:C,PRODUCCION!B:B,A157),0))</f>
        <v/>
      </c>
      <c r="E157" s="8">
        <f>IFERROR(C157*D157,0)</f>
        <v/>
      </c>
      <c r="F157" s="10">
        <f>IF(OR($A157="",$B157=""),"",IFERROR($C157*INDEX(INSUMOS!$K$5:$K$67,MATCH($B157,INSUMOS!$B$5:$B$67,0)),0))</f>
        <v/>
      </c>
    </row>
    <row r="158">
      <c r="A158" s="7" t="n"/>
      <c r="B158" s="7" t="n"/>
      <c r="C158" s="7" t="n"/>
      <c r="D158" s="8">
        <f>IF(A158="","",IFERROR(SUMIFS(PRODUCCION!C:C,PRODUCCION!B:B,A158),0))</f>
        <v/>
      </c>
      <c r="E158" s="8">
        <f>IFERROR(C158*D158,0)</f>
        <v/>
      </c>
      <c r="F158" s="10">
        <f>IF(OR($A158="",$B158=""),"",IFERROR($C158*INDEX(INSUMOS!$K$5:$K$67,MATCH($B158,INSUMOS!$B$5:$B$67,0)),0))</f>
        <v/>
      </c>
    </row>
    <row r="159">
      <c r="A159" s="7" t="n"/>
      <c r="B159" s="7" t="n"/>
      <c r="C159" s="7" t="n"/>
      <c r="D159" s="8">
        <f>IF(A159="","",IFERROR(SUMIFS(PRODUCCION!C:C,PRODUCCION!B:B,A159),0))</f>
        <v/>
      </c>
      <c r="E159" s="8">
        <f>IFERROR(C159*D159,0)</f>
        <v/>
      </c>
      <c r="F159" s="10">
        <f>IF(OR($A159="",$B159=""),"",IFERROR($C159*INDEX(INSUMOS!$K$5:$K$67,MATCH($B159,INSUMOS!$B$5:$B$67,0)),0))</f>
        <v/>
      </c>
    </row>
    <row r="160">
      <c r="A160" s="7" t="n"/>
      <c r="B160" s="7" t="n"/>
      <c r="C160" s="7" t="n"/>
      <c r="D160" s="8">
        <f>IF(A160="","",IFERROR(SUMIFS(PRODUCCION!C:C,PRODUCCION!B:B,A160),0))</f>
        <v/>
      </c>
      <c r="E160" s="8">
        <f>IFERROR(C160*D160,0)</f>
        <v/>
      </c>
      <c r="F160" s="10">
        <f>IF(OR($A160="",$B160=""),"",IFERROR($C160*INDEX(INSUMOS!$K$5:$K$67,MATCH($B160,INSUMOS!$B$5:$B$67,0)),0))</f>
        <v/>
      </c>
    </row>
    <row r="161">
      <c r="A161" s="7" t="n"/>
      <c r="B161" s="7" t="n"/>
      <c r="C161" s="7" t="n"/>
      <c r="D161" s="8">
        <f>IF(A161="","",IFERROR(SUMIFS(PRODUCCION!C:C,PRODUCCION!B:B,A161),0))</f>
        <v/>
      </c>
      <c r="E161" s="8">
        <f>IFERROR(C161*D161,0)</f>
        <v/>
      </c>
      <c r="F161" s="10">
        <f>IF(OR($A161="",$B161=""),"",IFERROR($C161*INDEX(INSUMOS!$K$5:$K$67,MATCH($B161,INSUMOS!$B$5:$B$67,0)),0))</f>
        <v/>
      </c>
    </row>
    <row r="162">
      <c r="A162" s="7" t="n"/>
      <c r="B162" s="7" t="n"/>
      <c r="C162" s="7" t="n"/>
      <c r="D162" s="8">
        <f>IF(A162="","",IFERROR(SUMIFS(PRODUCCION!C:C,PRODUCCION!B:B,A162),0))</f>
        <v/>
      </c>
      <c r="E162" s="8">
        <f>IFERROR(C162*D162,0)</f>
        <v/>
      </c>
      <c r="F162" s="10">
        <f>IF(OR($A162="",$B162=""),"",IFERROR($C162*INDEX(INSUMOS!$K$5:$K$67,MATCH($B162,INSUMOS!$B$5:$B$67,0)),0))</f>
        <v/>
      </c>
    </row>
    <row r="163">
      <c r="A163" s="7" t="n"/>
      <c r="B163" s="7" t="n"/>
      <c r="C163" s="7" t="n"/>
      <c r="D163" s="8">
        <f>IF(A163="","",IFERROR(SUMIFS(PRODUCCION!C:C,PRODUCCION!B:B,A163),0))</f>
        <v/>
      </c>
      <c r="E163" s="8">
        <f>IFERROR(C163*D163,0)</f>
        <v/>
      </c>
      <c r="F163" s="10">
        <f>IF(OR($A163="",$B163=""),"",IFERROR($C163*INDEX(INSUMOS!$K$5:$K$67,MATCH($B163,INSUMOS!$B$5:$B$67,0)),0))</f>
        <v/>
      </c>
    </row>
    <row r="164">
      <c r="A164" s="7" t="n"/>
      <c r="B164" s="7" t="n"/>
      <c r="C164" s="7" t="n"/>
      <c r="D164" s="8">
        <f>IF(A164="","",IFERROR(SUMIFS(PRODUCCION!C:C,PRODUCCION!B:B,A164),0))</f>
        <v/>
      </c>
      <c r="E164" s="8">
        <f>IFERROR(C164*D164,0)</f>
        <v/>
      </c>
      <c r="F164" s="10">
        <f>IF(OR($A164="",$B164=""),"",IFERROR($C164*INDEX(INSUMOS!$K$5:$K$67,MATCH($B164,INSUMOS!$B$5:$B$67,0)),0))</f>
        <v/>
      </c>
    </row>
    <row r="165">
      <c r="A165" s="7" t="n"/>
      <c r="B165" s="7" t="n"/>
      <c r="C165" s="7" t="n"/>
      <c r="D165" s="8">
        <f>IF(A165="","",IFERROR(SUMIFS(PRODUCCION!C:C,PRODUCCION!B:B,A165),0))</f>
        <v/>
      </c>
      <c r="E165" s="8">
        <f>IFERROR(C165*D165,0)</f>
        <v/>
      </c>
      <c r="F165" s="10">
        <f>IF(OR($A165="",$B165=""),"",IFERROR($C165*INDEX(INSUMOS!$K$5:$K$67,MATCH($B165,INSUMOS!$B$5:$B$67,0)),0))</f>
        <v/>
      </c>
    </row>
    <row r="166">
      <c r="A166" s="7" t="n"/>
      <c r="B166" s="7" t="n"/>
      <c r="C166" s="7" t="n"/>
      <c r="D166" s="8">
        <f>IF(A166="","",IFERROR(SUMIFS(PRODUCCION!C:C,PRODUCCION!B:B,A166),0))</f>
        <v/>
      </c>
      <c r="E166" s="8">
        <f>IFERROR(C166*D166,0)</f>
        <v/>
      </c>
      <c r="F166" s="10">
        <f>IF(OR($A166="",$B166=""),"",IFERROR($C166*INDEX(INSUMOS!$K$5:$K$67,MATCH($B166,INSUMOS!$B$5:$B$67,0)),0))</f>
        <v/>
      </c>
    </row>
    <row r="167">
      <c r="A167" s="7" t="n"/>
      <c r="B167" s="7" t="n"/>
      <c r="C167" s="7" t="n"/>
      <c r="D167" s="8">
        <f>IF(A167="","",IFERROR(SUMIFS(PRODUCCION!C:C,PRODUCCION!B:B,A167),0))</f>
        <v/>
      </c>
      <c r="E167" s="8">
        <f>IFERROR(C167*D167,0)</f>
        <v/>
      </c>
      <c r="F167" s="10">
        <f>IF(OR($A167="",$B167=""),"",IFERROR($C167*INDEX(INSUMOS!$K$5:$K$67,MATCH($B167,INSUMOS!$B$5:$B$67,0)),0))</f>
        <v/>
      </c>
    </row>
    <row r="168">
      <c r="A168" s="7" t="n"/>
      <c r="B168" s="7" t="n"/>
      <c r="C168" s="7" t="n"/>
      <c r="D168" s="8">
        <f>IF(A168="","",IFERROR(SUMIFS(PRODUCCION!C:C,PRODUCCION!B:B,A168),0))</f>
        <v/>
      </c>
      <c r="E168" s="8">
        <f>IFERROR(C168*D168,0)</f>
        <v/>
      </c>
      <c r="F168" s="10">
        <f>IF(OR($A168="",$B168=""),"",IFERROR($C168*INDEX(INSUMOS!$K$5:$K$67,MATCH($B168,INSUMOS!$B$5:$B$67,0)),0))</f>
        <v/>
      </c>
    </row>
    <row r="169">
      <c r="A169" s="7" t="n"/>
      <c r="B169" s="7" t="n"/>
      <c r="C169" s="7" t="n"/>
      <c r="D169" s="8">
        <f>IF(A169="","",IFERROR(SUMIFS(PRODUCCION!C:C,PRODUCCION!B:B,A169),0))</f>
        <v/>
      </c>
      <c r="E169" s="8">
        <f>IFERROR(C169*D169,0)</f>
        <v/>
      </c>
      <c r="F169" s="10">
        <f>IF(OR($A169="",$B169=""),"",IFERROR($C169*INDEX(INSUMOS!$K$5:$K$67,MATCH($B169,INSUMOS!$B$5:$B$67,0)),0))</f>
        <v/>
      </c>
    </row>
    <row r="170">
      <c r="A170" s="7" t="n"/>
      <c r="B170" s="7" t="n"/>
      <c r="C170" s="7" t="n"/>
      <c r="D170" s="8">
        <f>IF(A170="","",IFERROR(SUMIFS(PRODUCCION!C:C,PRODUCCION!B:B,A170),0))</f>
        <v/>
      </c>
      <c r="E170" s="8">
        <f>IFERROR(C170*D170,0)</f>
        <v/>
      </c>
      <c r="F170" s="10">
        <f>IF(OR($A170="",$B170=""),"",IFERROR($C170*INDEX(INSUMOS!$K$5:$K$67,MATCH($B170,INSUMOS!$B$5:$B$67,0)),0))</f>
        <v/>
      </c>
    </row>
    <row r="171">
      <c r="A171" s="7" t="n"/>
      <c r="B171" s="7" t="n"/>
      <c r="C171" s="7" t="n"/>
      <c r="D171" s="8">
        <f>IF(A171="","",IFERROR(SUMIFS(PRODUCCION!C:C,PRODUCCION!B:B,A171),0))</f>
        <v/>
      </c>
      <c r="E171" s="8">
        <f>IFERROR(C171*D171,0)</f>
        <v/>
      </c>
      <c r="F171" s="10">
        <f>IF(OR($A171="",$B171=""),"",IFERROR($C171*INDEX(INSUMOS!$K$5:$K$67,MATCH($B171,INSUMOS!$B$5:$B$67,0)),0))</f>
        <v/>
      </c>
    </row>
    <row r="172">
      <c r="A172" s="7" t="n"/>
      <c r="B172" s="7" t="n"/>
      <c r="C172" s="7" t="n"/>
      <c r="D172" s="8">
        <f>IF(A172="","",IFERROR(SUMIFS(PRODUCCION!C:C,PRODUCCION!B:B,A172),0))</f>
        <v/>
      </c>
      <c r="E172" s="8">
        <f>IFERROR(C172*D172,0)</f>
        <v/>
      </c>
      <c r="F172" s="10">
        <f>IF(OR($A172="",$B172=""),"",IFERROR($C172*INDEX(INSUMOS!$K$5:$K$67,MATCH($B172,INSUMOS!$B$5:$B$67,0)),0))</f>
        <v/>
      </c>
    </row>
    <row r="173">
      <c r="A173" s="7" t="n"/>
      <c r="B173" s="7" t="n"/>
      <c r="C173" s="7" t="n"/>
      <c r="D173" s="8">
        <f>IF(A173="","",IFERROR(SUMIFS(PRODUCCION!C:C,PRODUCCION!B:B,A173),0))</f>
        <v/>
      </c>
      <c r="E173" s="8">
        <f>IFERROR(C173*D173,0)</f>
        <v/>
      </c>
      <c r="F173" s="10">
        <f>IF(OR($A173="",$B173=""),"",IFERROR($C173*INDEX(INSUMOS!$K$5:$K$67,MATCH($B173,INSUMOS!$B$5:$B$67,0)),0))</f>
        <v/>
      </c>
    </row>
    <row r="174">
      <c r="A174" s="7" t="n"/>
      <c r="B174" s="7" t="n"/>
      <c r="C174" s="7" t="n"/>
      <c r="D174" s="8">
        <f>IF(A174="","",IFERROR(SUMIFS(PRODUCCION!C:C,PRODUCCION!B:B,A174),0))</f>
        <v/>
      </c>
      <c r="E174" s="8">
        <f>IFERROR(C174*D174,0)</f>
        <v/>
      </c>
      <c r="F174" s="10">
        <f>IF(OR($A174="",$B174=""),"",IFERROR($C174*INDEX(INSUMOS!$K$5:$K$67,MATCH($B174,INSUMOS!$B$5:$B$67,0)),0))</f>
        <v/>
      </c>
    </row>
    <row r="175">
      <c r="A175" s="7" t="n"/>
      <c r="B175" s="7" t="n"/>
      <c r="C175" s="7" t="n"/>
      <c r="D175" s="8">
        <f>IF(A175="","",IFERROR(SUMIFS(PRODUCCION!C:C,PRODUCCION!B:B,A175),0))</f>
        <v/>
      </c>
      <c r="E175" s="8">
        <f>IFERROR(C175*D175,0)</f>
        <v/>
      </c>
      <c r="F175" s="10">
        <f>IF(OR($A175="",$B175=""),"",IFERROR($C175*INDEX(INSUMOS!$K$5:$K$67,MATCH($B175,INSUMOS!$B$5:$B$67,0)),0))</f>
        <v/>
      </c>
    </row>
    <row r="176">
      <c r="A176" s="7" t="n"/>
      <c r="B176" s="7" t="n"/>
      <c r="C176" s="7" t="n"/>
      <c r="D176" s="8">
        <f>IF(A176="","",IFERROR(SUMIFS(PRODUCCION!C:C,PRODUCCION!B:B,A176),0))</f>
        <v/>
      </c>
      <c r="E176" s="8">
        <f>IFERROR(C176*D176,0)</f>
        <v/>
      </c>
      <c r="F176" s="10">
        <f>IF(OR($A176="",$B176=""),"",IFERROR($C176*INDEX(INSUMOS!$K$5:$K$67,MATCH($B176,INSUMOS!$B$5:$B$67,0)),0))</f>
        <v/>
      </c>
    </row>
    <row r="177">
      <c r="A177" s="7" t="n"/>
      <c r="B177" s="7" t="n"/>
      <c r="C177" s="7" t="n"/>
      <c r="D177" s="8">
        <f>IF(A177="","",IFERROR(SUMIFS(PRODUCCION!C:C,PRODUCCION!B:B,A177),0))</f>
        <v/>
      </c>
      <c r="E177" s="8">
        <f>IFERROR(C177*D177,0)</f>
        <v/>
      </c>
      <c r="F177" s="10">
        <f>IF(OR($A177="",$B177=""),"",IFERROR($C177*INDEX(INSUMOS!$K$5:$K$67,MATCH($B177,INSUMOS!$B$5:$B$67,0)),0))</f>
        <v/>
      </c>
    </row>
    <row r="178">
      <c r="A178" s="7" t="n"/>
      <c r="B178" s="7" t="n"/>
      <c r="C178" s="7" t="n"/>
      <c r="D178" s="8">
        <f>IF(A178="","",IFERROR(SUMIFS(PRODUCCION!C:C,PRODUCCION!B:B,A178),0))</f>
        <v/>
      </c>
      <c r="E178" s="8">
        <f>IFERROR(C178*D178,0)</f>
        <v/>
      </c>
      <c r="F178" s="10">
        <f>IF(OR($A178="",$B178=""),"",IFERROR($C178*INDEX(INSUMOS!$K$5:$K$67,MATCH($B178,INSUMOS!$B$5:$B$67,0)),0))</f>
        <v/>
      </c>
    </row>
    <row r="179">
      <c r="A179" s="7" t="n"/>
      <c r="B179" s="7" t="n"/>
      <c r="C179" s="7" t="n"/>
      <c r="D179" s="8">
        <f>IF(A179="","",IFERROR(SUMIFS(PRODUCCION!C:C,PRODUCCION!B:B,A179),0))</f>
        <v/>
      </c>
      <c r="E179" s="8">
        <f>IFERROR(C179*D179,0)</f>
        <v/>
      </c>
      <c r="F179" s="10">
        <f>IF(OR($A179="",$B179=""),"",IFERROR($C179*INDEX(INSUMOS!$K$5:$K$67,MATCH($B179,INSUMOS!$B$5:$B$67,0)),0))</f>
        <v/>
      </c>
    </row>
    <row r="180">
      <c r="A180" s="7" t="n"/>
      <c r="B180" s="7" t="n"/>
      <c r="C180" s="7" t="n"/>
      <c r="D180" s="8">
        <f>IF(A180="","",IFERROR(SUMIFS(PRODUCCION!C:C,PRODUCCION!B:B,A180),0))</f>
        <v/>
      </c>
      <c r="E180" s="8">
        <f>IFERROR(C180*D180,0)</f>
        <v/>
      </c>
      <c r="F180" s="10">
        <f>IF(OR($A180="",$B180=""),"",IFERROR($C180*INDEX(INSUMOS!$K$5:$K$67,MATCH($B180,INSUMOS!$B$5:$B$67,0)),0))</f>
        <v/>
      </c>
    </row>
    <row r="181">
      <c r="A181" s="7" t="n"/>
      <c r="B181" s="7" t="n"/>
      <c r="C181" s="7" t="n"/>
      <c r="D181" s="8">
        <f>IF(A181="","",IFERROR(SUMIFS(PRODUCCION!C:C,PRODUCCION!B:B,A181),0))</f>
        <v/>
      </c>
      <c r="E181" s="8">
        <f>IFERROR(C181*D181,0)</f>
        <v/>
      </c>
      <c r="F181" s="10">
        <f>IF(OR($A181="",$B181=""),"",IFERROR($C181*INDEX(INSUMOS!$K$5:$K$67,MATCH($B181,INSUMOS!$B$5:$B$67,0)),0))</f>
        <v/>
      </c>
    </row>
    <row r="182">
      <c r="A182" s="7" t="n"/>
      <c r="B182" s="7" t="n"/>
      <c r="C182" s="7" t="n"/>
      <c r="D182" s="8">
        <f>IF(A182="","",IFERROR(SUMIFS(PRODUCCION!C:C,PRODUCCION!B:B,A182),0))</f>
        <v/>
      </c>
      <c r="E182" s="8">
        <f>IFERROR(C182*D182,0)</f>
        <v/>
      </c>
      <c r="F182" s="10">
        <f>IF(OR($A182="",$B182=""),"",IFERROR($C182*INDEX(INSUMOS!$K$5:$K$67,MATCH($B182,INSUMOS!$B$5:$B$67,0)),0))</f>
        <v/>
      </c>
    </row>
    <row r="183">
      <c r="A183" s="7" t="n"/>
      <c r="B183" s="7" t="n"/>
      <c r="C183" s="7" t="n"/>
      <c r="D183" s="8">
        <f>IF(A183="","",IFERROR(SUMIFS(PRODUCCION!C:C,PRODUCCION!B:B,A183),0))</f>
        <v/>
      </c>
      <c r="E183" s="8">
        <f>IFERROR(C183*D183,0)</f>
        <v/>
      </c>
      <c r="F183" s="10">
        <f>IF(OR($A183="",$B183=""),"",IFERROR($C183*INDEX(INSUMOS!$K$5:$K$67,MATCH($B183,INSUMOS!$B$5:$B$67,0)),0))</f>
        <v/>
      </c>
    </row>
    <row r="184">
      <c r="A184" s="7" t="n"/>
      <c r="B184" s="7" t="n"/>
      <c r="C184" s="7" t="n"/>
      <c r="D184" s="8">
        <f>IF(A184="","",IFERROR(SUMIFS(PRODUCCION!C:C,PRODUCCION!B:B,A184),0))</f>
        <v/>
      </c>
      <c r="E184" s="8">
        <f>IFERROR(C184*D184,0)</f>
        <v/>
      </c>
      <c r="F184" s="10">
        <f>IF(OR($A184="",$B184=""),"",IFERROR($C184*INDEX(INSUMOS!$K$5:$K$67,MATCH($B184,INSUMOS!$B$5:$B$67,0)),0))</f>
        <v/>
      </c>
    </row>
    <row r="185">
      <c r="A185" s="7" t="n"/>
      <c r="B185" s="7" t="n"/>
      <c r="C185" s="7" t="n"/>
      <c r="D185" s="8">
        <f>IF(A185="","",IFERROR(SUMIFS(PRODUCCION!C:C,PRODUCCION!B:B,A185),0))</f>
        <v/>
      </c>
      <c r="E185" s="8">
        <f>IFERROR(C185*D185,0)</f>
        <v/>
      </c>
      <c r="F185" s="10">
        <f>IF(OR($A185="",$B185=""),"",IFERROR($C185*INDEX(INSUMOS!$K$5:$K$67,MATCH($B185,INSUMOS!$B$5:$B$67,0)),0))</f>
        <v/>
      </c>
    </row>
    <row r="186">
      <c r="A186" s="7" t="n"/>
      <c r="B186" s="7" t="n"/>
      <c r="C186" s="7" t="n"/>
      <c r="D186" s="8">
        <f>IF(A186="","",IFERROR(SUMIFS(PRODUCCION!C:C,PRODUCCION!B:B,A186),0))</f>
        <v/>
      </c>
      <c r="E186" s="8">
        <f>IFERROR(C186*D186,0)</f>
        <v/>
      </c>
      <c r="F186" s="10">
        <f>IF(OR($A186="",$B186=""),"",IFERROR($C186*INDEX(INSUMOS!$K$5:$K$67,MATCH($B186,INSUMOS!$B$5:$B$67,0)),0))</f>
        <v/>
      </c>
    </row>
    <row r="187">
      <c r="A187" s="7" t="n"/>
      <c r="B187" s="7" t="n"/>
      <c r="C187" s="7" t="n"/>
      <c r="D187" s="8">
        <f>IF(A187="","",IFERROR(SUMIFS(PRODUCCION!C:C,PRODUCCION!B:B,A187),0))</f>
        <v/>
      </c>
      <c r="E187" s="8">
        <f>IFERROR(C187*D187,0)</f>
        <v/>
      </c>
      <c r="F187" s="10">
        <f>IF(OR($A187="",$B187=""),"",IFERROR($C187*INDEX(INSUMOS!$K$5:$K$67,MATCH($B187,INSUMOS!$B$5:$B$67,0)),0))</f>
        <v/>
      </c>
    </row>
    <row r="188">
      <c r="A188" s="7" t="n"/>
      <c r="B188" s="7" t="n"/>
      <c r="C188" s="7" t="n"/>
      <c r="D188" s="8">
        <f>IF(A188="","",IFERROR(SUMIFS(PRODUCCION!C:C,PRODUCCION!B:B,A188),0))</f>
        <v/>
      </c>
      <c r="E188" s="8">
        <f>IFERROR(C188*D188,0)</f>
        <v/>
      </c>
      <c r="F188" s="10">
        <f>IF(OR($A188="",$B188=""),"",IFERROR($C188*INDEX(INSUMOS!$K$5:$K$67,MATCH($B188,INSUMOS!$B$5:$B$67,0)),0))</f>
        <v/>
      </c>
    </row>
    <row r="189">
      <c r="A189" s="7" t="n"/>
      <c r="B189" s="7" t="n"/>
      <c r="C189" s="7" t="n"/>
      <c r="D189" s="8">
        <f>IF(A189="","",IFERROR(SUMIFS(PRODUCCION!C:C,PRODUCCION!B:B,A189),0))</f>
        <v/>
      </c>
      <c r="E189" s="8">
        <f>IFERROR(C189*D189,0)</f>
        <v/>
      </c>
      <c r="F189" s="10">
        <f>IF(OR($A189="",$B189=""),"",IFERROR($C189*INDEX(INSUMOS!$K$5:$K$67,MATCH($B189,INSUMOS!$B$5:$B$67,0)),0))</f>
        <v/>
      </c>
    </row>
    <row r="190">
      <c r="A190" s="7" t="n"/>
      <c r="B190" s="7" t="n"/>
      <c r="C190" s="7" t="n"/>
      <c r="D190" s="8">
        <f>IF(A190="","",IFERROR(SUMIFS(PRODUCCION!C:C,PRODUCCION!B:B,A190),0))</f>
        <v/>
      </c>
      <c r="E190" s="8">
        <f>IFERROR(C190*D190,0)</f>
        <v/>
      </c>
      <c r="F190" s="10">
        <f>IF(OR($A190="",$B190=""),"",IFERROR($C190*INDEX(INSUMOS!$K$5:$K$67,MATCH($B190,INSUMOS!$B$5:$B$67,0)),0))</f>
        <v/>
      </c>
    </row>
    <row r="191">
      <c r="A191" s="7" t="n"/>
      <c r="B191" s="7" t="n"/>
      <c r="C191" s="7" t="n"/>
      <c r="D191" s="8">
        <f>IF(A191="","",IFERROR(SUMIFS(PRODUCCION!C:C,PRODUCCION!B:B,A191),0))</f>
        <v/>
      </c>
      <c r="E191" s="8">
        <f>IFERROR(C191*D191,0)</f>
        <v/>
      </c>
      <c r="F191" s="10">
        <f>IF(OR($A191="",$B191=""),"",IFERROR($C191*INDEX(INSUMOS!$K$5:$K$67,MATCH($B191,INSUMOS!$B$5:$B$67,0)),0))</f>
        <v/>
      </c>
    </row>
    <row r="192">
      <c r="A192" s="7" t="n"/>
      <c r="B192" s="7" t="n"/>
      <c r="C192" s="7" t="n"/>
      <c r="D192" s="8">
        <f>IF(A192="","",IFERROR(SUMIFS(PRODUCCION!C:C,PRODUCCION!B:B,A192),0))</f>
        <v/>
      </c>
      <c r="E192" s="8">
        <f>IFERROR(C192*D192,0)</f>
        <v/>
      </c>
      <c r="F192" s="10">
        <f>IF(OR($A192="",$B192=""),"",IFERROR($C192*INDEX(INSUMOS!$K$5:$K$67,MATCH($B192,INSUMOS!$B$5:$B$67,0)),0))</f>
        <v/>
      </c>
    </row>
    <row r="193">
      <c r="A193" s="7" t="n"/>
      <c r="B193" s="7" t="n"/>
      <c r="C193" s="7" t="n"/>
      <c r="D193" s="8">
        <f>IF(A193="","",IFERROR(SUMIFS(PRODUCCION!C:C,PRODUCCION!B:B,A193),0))</f>
        <v/>
      </c>
      <c r="E193" s="8">
        <f>IFERROR(C193*D193,0)</f>
        <v/>
      </c>
      <c r="F193" s="10">
        <f>IF(OR($A193="",$B193=""),"",IFERROR($C193*INDEX(INSUMOS!$K$5:$K$67,MATCH($B193,INSUMOS!$B$5:$B$67,0)),0))</f>
        <v/>
      </c>
    </row>
    <row r="194">
      <c r="A194" s="7" t="n"/>
      <c r="B194" s="7" t="n"/>
      <c r="C194" s="7" t="n"/>
      <c r="D194" s="8">
        <f>IF(A194="","",IFERROR(SUMIFS(PRODUCCION!C:C,PRODUCCION!B:B,A194),0))</f>
        <v/>
      </c>
      <c r="E194" s="8">
        <f>IFERROR(C194*D194,0)</f>
        <v/>
      </c>
      <c r="F194" s="10">
        <f>IF(OR($A194="",$B194=""),"",IFERROR($C194*INDEX(INSUMOS!$K$5:$K$67,MATCH($B194,INSUMOS!$B$5:$B$67,0)),0))</f>
        <v/>
      </c>
    </row>
    <row r="195">
      <c r="A195" s="7" t="n"/>
      <c r="B195" s="7" t="n"/>
      <c r="C195" s="7" t="n"/>
      <c r="D195" s="8">
        <f>IF(A195="","",IFERROR(SUMIFS(PRODUCCION!C:C,PRODUCCION!B:B,A195),0))</f>
        <v/>
      </c>
      <c r="E195" s="8">
        <f>IFERROR(C195*D195,0)</f>
        <v/>
      </c>
      <c r="F195" s="10">
        <f>IF(OR($A195="",$B195=""),"",IFERROR($C195*INDEX(INSUMOS!$K$5:$K$67,MATCH($B195,INSUMOS!$B$5:$B$67,0)),0))</f>
        <v/>
      </c>
    </row>
    <row r="196">
      <c r="A196" s="7" t="n"/>
      <c r="B196" s="7" t="n"/>
      <c r="C196" s="7" t="n"/>
      <c r="D196" s="8">
        <f>IF(A196="","",IFERROR(SUMIFS(PRODUCCION!C:C,PRODUCCION!B:B,A196),0))</f>
        <v/>
      </c>
      <c r="E196" s="8">
        <f>IFERROR(C196*D196,0)</f>
        <v/>
      </c>
      <c r="F196" s="10">
        <f>IF(OR($A196="",$B196=""),"",IFERROR($C196*INDEX(INSUMOS!$K$5:$K$67,MATCH($B196,INSUMOS!$B$5:$B$67,0)),0))</f>
        <v/>
      </c>
    </row>
    <row r="197">
      <c r="A197" s="7" t="n"/>
      <c r="B197" s="7" t="n"/>
      <c r="C197" s="7" t="n"/>
      <c r="D197" s="8">
        <f>IF(A197="","",IFERROR(SUMIFS(PRODUCCION!C:C,PRODUCCION!B:B,A197),0))</f>
        <v/>
      </c>
      <c r="E197" s="8">
        <f>IFERROR(C197*D197,0)</f>
        <v/>
      </c>
      <c r="F197" s="10">
        <f>IF(OR($A197="",$B197=""),"",IFERROR($C197*INDEX(INSUMOS!$K$5:$K$67,MATCH($B197,INSUMOS!$B$5:$B$67,0)),0))</f>
        <v/>
      </c>
    </row>
    <row r="198">
      <c r="A198" s="7" t="n"/>
      <c r="B198" s="7" t="n"/>
      <c r="C198" s="7" t="n"/>
      <c r="D198" s="8">
        <f>IF(A198="","",IFERROR(SUMIFS(PRODUCCION!C:C,PRODUCCION!B:B,A198),0))</f>
        <v/>
      </c>
      <c r="E198" s="8">
        <f>IFERROR(C198*D198,0)</f>
        <v/>
      </c>
      <c r="F198" s="10">
        <f>IF(OR($A198="",$B198=""),"",IFERROR($C198*INDEX(INSUMOS!$K$5:$K$67,MATCH($B198,INSUMOS!$B$5:$B$67,0)),0))</f>
        <v/>
      </c>
    </row>
    <row r="199">
      <c r="A199" s="7" t="n"/>
      <c r="B199" s="7" t="n"/>
      <c r="C199" s="7" t="n"/>
      <c r="D199" s="8">
        <f>IF(A199="","",IFERROR(SUMIFS(PRODUCCION!C:C,PRODUCCION!B:B,A199),0))</f>
        <v/>
      </c>
      <c r="E199" s="8">
        <f>IFERROR(C199*D199,0)</f>
        <v/>
      </c>
      <c r="F199" s="10">
        <f>IF(OR($A199="",$B199=""),"",IFERROR($C199*INDEX(INSUMOS!$K$5:$K$67,MATCH($B199,INSUMOS!$B$5:$B$67,0)),0))</f>
        <v/>
      </c>
    </row>
    <row r="200">
      <c r="A200" s="7" t="n"/>
      <c r="B200" s="7" t="n"/>
      <c r="C200" s="7" t="n"/>
      <c r="D200" s="8">
        <f>IF(A200="","",IFERROR(SUMIFS(PRODUCCION!C:C,PRODUCCION!B:B,A200),0))</f>
        <v/>
      </c>
      <c r="E200" s="8">
        <f>IFERROR(C200*D200,0)</f>
        <v/>
      </c>
      <c r="F200" s="10">
        <f>IF(OR($A200="",$B200=""),"",IFERROR($C200*INDEX(INSUMOS!$K$5:$K$67,MATCH($B200,INSUMOS!$B$5:$B$67,0)),0))</f>
        <v/>
      </c>
    </row>
    <row r="201">
      <c r="A201" s="7" t="n"/>
      <c r="B201" s="7" t="n"/>
      <c r="C201" s="7" t="n"/>
      <c r="D201" s="8">
        <f>IF(A201="","",IFERROR(SUMIFS(PRODUCCION!C:C,PRODUCCION!B:B,A201),0))</f>
        <v/>
      </c>
      <c r="E201" s="8">
        <f>IFERROR(C201*D201,0)</f>
        <v/>
      </c>
      <c r="F201" s="10">
        <f>IF(OR($A201="",$B201=""),"",IFERROR($C201*INDEX(INSUMOS!$K$5:$K$67,MATCH($B201,INSUMOS!$B$5:$B$67,0)),0))</f>
        <v/>
      </c>
    </row>
    <row r="202">
      <c r="A202" s="7" t="n"/>
      <c r="B202" s="7" t="n"/>
      <c r="C202" s="7" t="n"/>
      <c r="D202" s="8">
        <f>IF(A202="","",IFERROR(SUMIFS(PRODUCCION!C:C,PRODUCCION!B:B,A202),0))</f>
        <v/>
      </c>
      <c r="E202" s="8">
        <f>IFERROR(C202*D202,0)</f>
        <v/>
      </c>
      <c r="F202" s="10">
        <f>IF(OR($A202="",$B202=""),"",IFERROR($C202*INDEX(INSUMOS!$K$5:$K$67,MATCH($B202,INSUMOS!$B$5:$B$67,0)),0))</f>
        <v/>
      </c>
    </row>
    <row r="203">
      <c r="A203" s="7" t="n"/>
      <c r="B203" s="7" t="n"/>
      <c r="C203" s="7" t="n"/>
      <c r="D203" s="8">
        <f>IF(A203="","",IFERROR(SUMIFS(PRODUCCION!C:C,PRODUCCION!B:B,A203),0))</f>
        <v/>
      </c>
      <c r="E203" s="8">
        <f>IFERROR(C203*D203,0)</f>
        <v/>
      </c>
      <c r="F203" s="10">
        <f>IF(OR($A203="",$B203=""),"",IFERROR($C203*INDEX(INSUMOS!$K$5:$K$67,MATCH($B203,INSUMOS!$B$5:$B$67,0)),0))</f>
        <v/>
      </c>
    </row>
    <row r="204">
      <c r="A204" s="7" t="n"/>
      <c r="B204" s="7" t="n"/>
      <c r="C204" s="7" t="n"/>
      <c r="D204" s="8">
        <f>IF(A204="","",IFERROR(SUMIFS(PRODUCCION!C:C,PRODUCCION!B:B,A204),0))</f>
        <v/>
      </c>
      <c r="E204" s="8">
        <f>IFERROR(C204*D204,0)</f>
        <v/>
      </c>
      <c r="F204" s="10">
        <f>IF(OR($A204="",$B204=""),"",IFERROR($C204*INDEX(INSUMOS!$K$5:$K$67,MATCH($B204,INSUMOS!$B$5:$B$67,0)),0))</f>
        <v/>
      </c>
    </row>
    <row r="205">
      <c r="A205" s="7" t="n"/>
      <c r="B205" s="7" t="n"/>
      <c r="C205" s="7" t="n"/>
      <c r="D205" s="8">
        <f>IF(A205="","",IFERROR(SUMIFS(PRODUCCION!C:C,PRODUCCION!B:B,A205),0))</f>
        <v/>
      </c>
      <c r="E205" s="8">
        <f>IFERROR(C205*D205,0)</f>
        <v/>
      </c>
      <c r="F205" s="10">
        <f>IF(OR($A205="",$B205=""),"",IFERROR($C205*INDEX(INSUMOS!$K$5:$K$67,MATCH($B205,INSUMOS!$B$5:$B$67,0)),0))</f>
        <v/>
      </c>
    </row>
    <row r="206">
      <c r="A206" s="7" t="n"/>
      <c r="B206" s="7" t="n"/>
      <c r="C206" s="7" t="n"/>
      <c r="D206" s="8">
        <f>IF(A206="","",IFERROR(SUMIFS(PRODUCCION!C:C,PRODUCCION!B:B,A206),0))</f>
        <v/>
      </c>
      <c r="E206" s="8">
        <f>IFERROR(C206*D206,0)</f>
        <v/>
      </c>
      <c r="F206" s="10">
        <f>IF(OR($A206="",$B206=""),"",IFERROR($C206*INDEX(INSUMOS!$K$5:$K$67,MATCH($B206,INSUMOS!$B$5:$B$67,0)),0))</f>
        <v/>
      </c>
    </row>
    <row r="207">
      <c r="A207" s="7" t="n"/>
      <c r="B207" s="7" t="n"/>
      <c r="C207" s="7" t="n"/>
      <c r="D207" s="8">
        <f>IF(A207="","",IFERROR(SUMIFS(PRODUCCION!C:C,PRODUCCION!B:B,A207),0))</f>
        <v/>
      </c>
      <c r="E207" s="8">
        <f>IFERROR(C207*D207,0)</f>
        <v/>
      </c>
      <c r="F207" s="10">
        <f>IF(OR($A207="",$B207=""),"",IFERROR($C207*INDEX(INSUMOS!$K$5:$K$67,MATCH($B207,INSUMOS!$B$5:$B$67,0)),0))</f>
        <v/>
      </c>
    </row>
    <row r="208">
      <c r="A208" s="7" t="n"/>
      <c r="B208" s="7" t="n"/>
      <c r="C208" s="7" t="n"/>
      <c r="D208" s="8">
        <f>IF(A208="","",IFERROR(SUMIFS(PRODUCCION!C:C,PRODUCCION!B:B,A208),0))</f>
        <v/>
      </c>
      <c r="E208" s="8">
        <f>IFERROR(C208*D208,0)</f>
        <v/>
      </c>
      <c r="F208" s="10">
        <f>IF(OR($A208="",$B208=""),"",IFERROR($C208*INDEX(INSUMOS!$K$5:$K$67,MATCH($B208,INSUMOS!$B$5:$B$67,0)),0))</f>
        <v/>
      </c>
    </row>
    <row r="209">
      <c r="A209" s="7" t="n"/>
      <c r="B209" s="7" t="n"/>
      <c r="C209" s="7" t="n"/>
      <c r="D209" s="8">
        <f>IF(A209="","",IFERROR(SUMIFS(PRODUCCION!C:C,PRODUCCION!B:B,A209),0))</f>
        <v/>
      </c>
      <c r="E209" s="8">
        <f>IFERROR(C209*D209,0)</f>
        <v/>
      </c>
      <c r="F209" s="10">
        <f>IF(OR($A209="",$B209=""),"",IFERROR($C209*INDEX(INSUMOS!$K$5:$K$67,MATCH($B209,INSUMOS!$B$5:$B$67,0)),0))</f>
        <v/>
      </c>
    </row>
    <row r="210">
      <c r="A210" s="7" t="n"/>
      <c r="B210" s="7" t="n"/>
      <c r="C210" s="7" t="n"/>
      <c r="D210" s="8">
        <f>IF(A210="","",IFERROR(SUMIFS(PRODUCCION!C:C,PRODUCCION!B:B,A210),0))</f>
        <v/>
      </c>
      <c r="E210" s="8">
        <f>IFERROR(C210*D210,0)</f>
        <v/>
      </c>
      <c r="F210" s="10">
        <f>IF(OR($A210="",$B210=""),"",IFERROR($C210*INDEX(INSUMOS!$K$5:$K$67,MATCH($B210,INSUMOS!$B$5:$B$67,0)),0))</f>
        <v/>
      </c>
    </row>
    <row r="211">
      <c r="A211" s="7" t="n"/>
      <c r="B211" s="7" t="n"/>
      <c r="C211" s="7" t="n"/>
      <c r="D211" s="8">
        <f>IF(A211="","",IFERROR(SUMIFS(PRODUCCION!C:C,PRODUCCION!B:B,A211),0))</f>
        <v/>
      </c>
      <c r="E211" s="8">
        <f>IFERROR(C211*D211,0)</f>
        <v/>
      </c>
      <c r="F211" s="10">
        <f>IF(OR($A211="",$B211=""),"",IFERROR($C211*INDEX(INSUMOS!$K$5:$K$67,MATCH($B211,INSUMOS!$B$5:$B$67,0)),0))</f>
        <v/>
      </c>
    </row>
    <row r="212">
      <c r="A212" s="7" t="n"/>
      <c r="B212" s="7" t="n"/>
      <c r="C212" s="7" t="n"/>
      <c r="D212" s="8">
        <f>IF(A212="","",IFERROR(SUMIFS(PRODUCCION!C:C,PRODUCCION!B:B,A212),0))</f>
        <v/>
      </c>
      <c r="E212" s="8">
        <f>IFERROR(C212*D212,0)</f>
        <v/>
      </c>
      <c r="F212" s="10">
        <f>IF(OR($A212="",$B212=""),"",IFERROR($C212*INDEX(INSUMOS!$K$5:$K$67,MATCH($B212,INSUMOS!$B$5:$B$67,0)),0))</f>
        <v/>
      </c>
    </row>
    <row r="213">
      <c r="A213" s="7" t="n"/>
      <c r="B213" s="7" t="n"/>
      <c r="C213" s="7" t="n"/>
      <c r="D213" s="8">
        <f>IF(A213="","",IFERROR(SUMIFS(PRODUCCION!C:C,PRODUCCION!B:B,A213),0))</f>
        <v/>
      </c>
      <c r="E213" s="8">
        <f>IFERROR(C213*D213,0)</f>
        <v/>
      </c>
      <c r="F213" s="10">
        <f>IF(OR($A213="",$B213=""),"",IFERROR($C213*INDEX(INSUMOS!$K$5:$K$67,MATCH($B213,INSUMOS!$B$5:$B$67,0)),0))</f>
        <v/>
      </c>
    </row>
    <row r="214">
      <c r="A214" s="7" t="n"/>
      <c r="B214" s="7" t="n"/>
      <c r="C214" s="7" t="n"/>
      <c r="D214" s="8">
        <f>IF(A214="","",IFERROR(SUMIFS(PRODUCCION!C:C,PRODUCCION!B:B,A214),0))</f>
        <v/>
      </c>
      <c r="E214" s="8">
        <f>IFERROR(C214*D214,0)</f>
        <v/>
      </c>
      <c r="F214" s="10">
        <f>IF(OR($A214="",$B214=""),"",IFERROR($C214*INDEX(INSUMOS!$K$5:$K$67,MATCH($B214,INSUMOS!$B$5:$B$67,0)),0))</f>
        <v/>
      </c>
    </row>
    <row r="215">
      <c r="A215" s="7" t="n"/>
      <c r="B215" s="7" t="n"/>
      <c r="C215" s="7" t="n"/>
      <c r="D215" s="8">
        <f>IF(A215="","",IFERROR(SUMIFS(PRODUCCION!C:C,PRODUCCION!B:B,A215),0))</f>
        <v/>
      </c>
      <c r="E215" s="8">
        <f>IFERROR(C215*D215,0)</f>
        <v/>
      </c>
      <c r="F215" s="10">
        <f>IF(OR($A215="",$B215=""),"",IFERROR($C215*INDEX(INSUMOS!$K$5:$K$67,MATCH($B215,INSUMOS!$B$5:$B$67,0)),0))</f>
        <v/>
      </c>
    </row>
    <row r="216">
      <c r="A216" s="7" t="n"/>
      <c r="B216" s="7" t="n"/>
      <c r="C216" s="7" t="n"/>
      <c r="D216" s="8">
        <f>IF(A216="","",IFERROR(SUMIFS(PRODUCCION!C:C,PRODUCCION!B:B,A216),0))</f>
        <v/>
      </c>
      <c r="E216" s="8">
        <f>IFERROR(C216*D216,0)</f>
        <v/>
      </c>
      <c r="F216" s="10">
        <f>IF(OR($A216="",$B216=""),"",IFERROR($C216*INDEX(INSUMOS!$K$5:$K$67,MATCH($B216,INSUMOS!$B$5:$B$67,0)),0))</f>
        <v/>
      </c>
    </row>
    <row r="217">
      <c r="A217" s="7" t="n"/>
      <c r="B217" s="7" t="n"/>
      <c r="C217" s="7" t="n"/>
      <c r="D217" s="8">
        <f>IF(A217="","",IFERROR(SUMIFS(PRODUCCION!C:C,PRODUCCION!B:B,A217),0))</f>
        <v/>
      </c>
      <c r="E217" s="8">
        <f>IFERROR(C217*D217,0)</f>
        <v/>
      </c>
      <c r="F217" s="10">
        <f>IF(OR($A217="",$B217=""),"",IFERROR($C217*INDEX(INSUMOS!$K$5:$K$67,MATCH($B217,INSUMOS!$B$5:$B$67,0)),0))</f>
        <v/>
      </c>
    </row>
    <row r="218">
      <c r="A218" s="7" t="n"/>
      <c r="B218" s="7" t="n"/>
      <c r="C218" s="7" t="n"/>
      <c r="D218" s="8">
        <f>IF(A218="","",IFERROR(SUMIFS(PRODUCCION!C:C,PRODUCCION!B:B,A218),0))</f>
        <v/>
      </c>
      <c r="E218" s="8">
        <f>IFERROR(C218*D218,0)</f>
        <v/>
      </c>
      <c r="F218" s="10">
        <f>IF(OR($A218="",$B218=""),"",IFERROR($C218*INDEX(INSUMOS!$K$5:$K$67,MATCH($B218,INSUMOS!$B$5:$B$67,0)),0))</f>
        <v/>
      </c>
    </row>
    <row r="219">
      <c r="A219" s="7" t="n"/>
      <c r="B219" s="7" t="n"/>
      <c r="C219" s="7" t="n"/>
      <c r="D219" s="8">
        <f>IF(A219="","",IFERROR(SUMIFS(PRODUCCION!C:C,PRODUCCION!B:B,A219),0))</f>
        <v/>
      </c>
      <c r="E219" s="8">
        <f>IFERROR(C219*D219,0)</f>
        <v/>
      </c>
      <c r="F219" s="10">
        <f>IF(OR($A219="",$B219=""),"",IFERROR($C219*INDEX(INSUMOS!$K$5:$K$67,MATCH($B219,INSUMOS!$B$5:$B$67,0)),0))</f>
        <v/>
      </c>
    </row>
    <row r="220">
      <c r="A220" s="7" t="n"/>
      <c r="B220" s="7" t="n"/>
      <c r="C220" s="7" t="n"/>
      <c r="D220" s="8">
        <f>IF(A220="","",IFERROR(SUMIFS(PRODUCCION!C:C,PRODUCCION!B:B,A220),0))</f>
        <v/>
      </c>
      <c r="E220" s="8">
        <f>IFERROR(C220*D220,0)</f>
        <v/>
      </c>
      <c r="F220" s="10">
        <f>IF(OR($A220="",$B220=""),"",IFERROR($C220*INDEX(INSUMOS!$K$5:$K$67,MATCH($B220,INSUMOS!$B$5:$B$67,0)),0))</f>
        <v/>
      </c>
    </row>
    <row r="221">
      <c r="A221" s="7" t="n"/>
      <c r="B221" s="7" t="n"/>
      <c r="C221" s="7" t="n"/>
      <c r="D221" s="8">
        <f>IF(A221="","",IFERROR(SUMIFS(PRODUCCION!C:C,PRODUCCION!B:B,A221),0))</f>
        <v/>
      </c>
      <c r="E221" s="8">
        <f>IFERROR(C221*D221,0)</f>
        <v/>
      </c>
      <c r="F221" s="10">
        <f>IF(OR($A221="",$B221=""),"",IFERROR($C221*INDEX(INSUMOS!$K$5:$K$67,MATCH($B221,INSUMOS!$B$5:$B$67,0)),0))</f>
        <v/>
      </c>
    </row>
    <row r="222">
      <c r="A222" s="7" t="n"/>
      <c r="B222" s="7" t="n"/>
      <c r="C222" s="7" t="n"/>
      <c r="D222" s="8">
        <f>IF(A222="","",IFERROR(SUMIFS(PRODUCCION!C:C,PRODUCCION!B:B,A222),0))</f>
        <v/>
      </c>
      <c r="E222" s="8">
        <f>IFERROR(C222*D222,0)</f>
        <v/>
      </c>
      <c r="F222" s="10">
        <f>IF(OR($A222="",$B222=""),"",IFERROR($C222*INDEX(INSUMOS!$K$5:$K$67,MATCH($B222,INSUMOS!$B$5:$B$67,0)),0))</f>
        <v/>
      </c>
    </row>
    <row r="223">
      <c r="A223" s="7" t="n"/>
      <c r="B223" s="7" t="n"/>
      <c r="C223" s="7" t="n"/>
      <c r="D223" s="8">
        <f>IF(A223="","",IFERROR(SUMIFS(PRODUCCION!C:C,PRODUCCION!B:B,A223),0))</f>
        <v/>
      </c>
      <c r="E223" s="8">
        <f>IFERROR(C223*D223,0)</f>
        <v/>
      </c>
      <c r="F223" s="10">
        <f>IF(OR($A223="",$B223=""),"",IFERROR($C223*INDEX(INSUMOS!$K$5:$K$67,MATCH($B223,INSUMOS!$B$5:$B$67,0)),0))</f>
        <v/>
      </c>
    </row>
    <row r="224">
      <c r="A224" s="7" t="n"/>
      <c r="B224" s="7" t="n"/>
      <c r="C224" s="7" t="n"/>
      <c r="D224" s="8">
        <f>IF(A224="","",IFERROR(SUMIFS(PRODUCCION!C:C,PRODUCCION!B:B,A224),0))</f>
        <v/>
      </c>
      <c r="E224" s="8">
        <f>IFERROR(C224*D224,0)</f>
        <v/>
      </c>
      <c r="F224" s="10">
        <f>IF(OR($A224="",$B224=""),"",IFERROR($C224*INDEX(INSUMOS!$K$5:$K$67,MATCH($B224,INSUMOS!$B$5:$B$67,0)),0))</f>
        <v/>
      </c>
    </row>
    <row r="225">
      <c r="A225" s="7" t="n"/>
      <c r="B225" s="7" t="n"/>
      <c r="C225" s="7" t="n"/>
      <c r="D225" s="8">
        <f>IF(A225="","",IFERROR(SUMIFS(PRODUCCION!C:C,PRODUCCION!B:B,A225),0))</f>
        <v/>
      </c>
      <c r="E225" s="8">
        <f>IFERROR(C225*D225,0)</f>
        <v/>
      </c>
      <c r="F225" s="10">
        <f>IF(OR($A225="",$B225=""),"",IFERROR($C225*INDEX(INSUMOS!$K$5:$K$67,MATCH($B225,INSUMOS!$B$5:$B$67,0)),0))</f>
        <v/>
      </c>
    </row>
    <row r="226">
      <c r="A226" s="7" t="n"/>
      <c r="B226" s="7" t="n"/>
      <c r="C226" s="7" t="n"/>
      <c r="D226" s="8">
        <f>IF(A226="","",IFERROR(SUMIFS(PRODUCCION!C:C,PRODUCCION!B:B,A226),0))</f>
        <v/>
      </c>
      <c r="E226" s="8">
        <f>IFERROR(C226*D226,0)</f>
        <v/>
      </c>
      <c r="F226" s="10">
        <f>IF(OR($A226="",$B226=""),"",IFERROR($C226*INDEX(INSUMOS!$K$5:$K$67,MATCH($B226,INSUMOS!$B$5:$B$67,0)),0))</f>
        <v/>
      </c>
    </row>
    <row r="227">
      <c r="A227" s="7" t="n"/>
      <c r="B227" s="7" t="n"/>
      <c r="C227" s="7" t="n"/>
      <c r="D227" s="8">
        <f>IF(A227="","",IFERROR(SUMIFS(PRODUCCION!C:C,PRODUCCION!B:B,A227),0))</f>
        <v/>
      </c>
      <c r="E227" s="8">
        <f>IFERROR(C227*D227,0)</f>
        <v/>
      </c>
      <c r="F227" s="10">
        <f>IF(OR($A227="",$B227=""),"",IFERROR($C227*INDEX(INSUMOS!$K$5:$K$67,MATCH($B227,INSUMOS!$B$5:$B$67,0)),0))</f>
        <v/>
      </c>
    </row>
    <row r="228">
      <c r="A228" s="7" t="n"/>
      <c r="B228" s="7" t="n"/>
      <c r="C228" s="7" t="n"/>
      <c r="D228" s="8">
        <f>IF(A228="","",IFERROR(SUMIFS(PRODUCCION!C:C,PRODUCCION!B:B,A228),0))</f>
        <v/>
      </c>
      <c r="E228" s="8">
        <f>IFERROR(C228*D228,0)</f>
        <v/>
      </c>
      <c r="F228" s="10">
        <f>IF(OR($A228="",$B228=""),"",IFERROR($C228*INDEX(INSUMOS!$K$5:$K$67,MATCH($B228,INSUMOS!$B$5:$B$67,0)),0))</f>
        <v/>
      </c>
    </row>
    <row r="229">
      <c r="A229" s="7" t="n"/>
      <c r="B229" s="7" t="n"/>
      <c r="C229" s="7" t="n"/>
      <c r="D229" s="8">
        <f>IF(A229="","",IFERROR(SUMIFS(PRODUCCION!C:C,PRODUCCION!B:B,A229),0))</f>
        <v/>
      </c>
      <c r="E229" s="8">
        <f>IFERROR(C229*D229,0)</f>
        <v/>
      </c>
      <c r="F229" s="10">
        <f>IF(OR($A229="",$B229=""),"",IFERROR($C229*INDEX(INSUMOS!$K$5:$K$67,MATCH($B229,INSUMOS!$B$5:$B$67,0)),0))</f>
        <v/>
      </c>
    </row>
    <row r="230">
      <c r="A230" s="7" t="n"/>
      <c r="B230" s="7" t="n"/>
      <c r="C230" s="7" t="n"/>
      <c r="D230" s="8">
        <f>IF(A230="","",IFERROR(SUMIFS(PRODUCCION!C:C,PRODUCCION!B:B,A230),0))</f>
        <v/>
      </c>
      <c r="E230" s="8">
        <f>IFERROR(C230*D230,0)</f>
        <v/>
      </c>
      <c r="F230" s="10">
        <f>IF(OR($A230="",$B230=""),"",IFERROR($C230*INDEX(INSUMOS!$K$5:$K$67,MATCH($B230,INSUMOS!$B$5:$B$67,0)),0))</f>
        <v/>
      </c>
    </row>
    <row r="231">
      <c r="A231" s="7" t="n"/>
      <c r="B231" s="7" t="n"/>
      <c r="C231" s="7" t="n"/>
      <c r="D231" s="8">
        <f>IF(A231="","",IFERROR(SUMIFS(PRODUCCION!C:C,PRODUCCION!B:B,A231),0))</f>
        <v/>
      </c>
      <c r="E231" s="8">
        <f>IFERROR(C231*D231,0)</f>
        <v/>
      </c>
      <c r="F231" s="10">
        <f>IF(OR($A231="",$B231=""),"",IFERROR($C231*INDEX(INSUMOS!$K$5:$K$67,MATCH($B231,INSUMOS!$B$5:$B$67,0)),0))</f>
        <v/>
      </c>
    </row>
    <row r="232">
      <c r="A232" s="7" t="n"/>
      <c r="B232" s="7" t="n"/>
      <c r="C232" s="7" t="n"/>
      <c r="D232" s="8">
        <f>IF(A232="","",IFERROR(SUMIFS(PRODUCCION!C:C,PRODUCCION!B:B,A232),0))</f>
        <v/>
      </c>
      <c r="E232" s="8">
        <f>IFERROR(C232*D232,0)</f>
        <v/>
      </c>
      <c r="F232" s="10">
        <f>IF(OR($A232="",$B232=""),"",IFERROR($C232*INDEX(INSUMOS!$K$5:$K$67,MATCH($B232,INSUMOS!$B$5:$B$67,0)),0))</f>
        <v/>
      </c>
    </row>
    <row r="233">
      <c r="A233" s="7" t="n"/>
      <c r="B233" s="7" t="n"/>
      <c r="C233" s="7" t="n"/>
      <c r="D233" s="8">
        <f>IF(A233="","",IFERROR(SUMIFS(PRODUCCION!C:C,PRODUCCION!B:B,A233),0))</f>
        <v/>
      </c>
      <c r="E233" s="8">
        <f>IFERROR(C233*D233,0)</f>
        <v/>
      </c>
      <c r="F233" s="10">
        <f>IF(OR($A233="",$B233=""),"",IFERROR($C233*INDEX(INSUMOS!$K$5:$K$67,MATCH($B233,INSUMOS!$B$5:$B$67,0)),0))</f>
        <v/>
      </c>
    </row>
    <row r="234">
      <c r="A234" s="7" t="n"/>
      <c r="B234" s="7" t="n"/>
      <c r="C234" s="7" t="n"/>
      <c r="D234" s="8">
        <f>IF(A234="","",IFERROR(SUMIFS(PRODUCCION!C:C,PRODUCCION!B:B,A234),0))</f>
        <v/>
      </c>
      <c r="E234" s="8">
        <f>IFERROR(C234*D234,0)</f>
        <v/>
      </c>
      <c r="F234" s="10">
        <f>IF(OR($A234="",$B234=""),"",IFERROR($C234*INDEX(INSUMOS!$K$5:$K$67,MATCH($B234,INSUMOS!$B$5:$B$67,0)),0))</f>
        <v/>
      </c>
    </row>
    <row r="235">
      <c r="A235" s="7" t="n"/>
      <c r="B235" s="7" t="n"/>
      <c r="C235" s="7" t="n"/>
      <c r="D235" s="8">
        <f>IF(A235="","",IFERROR(SUMIFS(PRODUCCION!C:C,PRODUCCION!B:B,A235),0))</f>
        <v/>
      </c>
      <c r="E235" s="8">
        <f>IFERROR(C235*D235,0)</f>
        <v/>
      </c>
      <c r="F235" s="10">
        <f>IF(OR($A235="",$B235=""),"",IFERROR($C235*INDEX(INSUMOS!$K$5:$K$67,MATCH($B235,INSUMOS!$B$5:$B$67,0)),0))</f>
        <v/>
      </c>
    </row>
    <row r="236">
      <c r="A236" s="7" t="n"/>
      <c r="B236" s="7" t="n"/>
      <c r="C236" s="7" t="n"/>
      <c r="D236" s="8">
        <f>IF(A236="","",IFERROR(SUMIFS(PRODUCCION!C:C,PRODUCCION!B:B,A236),0))</f>
        <v/>
      </c>
      <c r="E236" s="8">
        <f>IFERROR(C236*D236,0)</f>
        <v/>
      </c>
      <c r="F236" s="10">
        <f>IF(OR($A236="",$B236=""),"",IFERROR($C236*INDEX(INSUMOS!$K$5:$K$67,MATCH($B236,INSUMOS!$B$5:$B$67,0)),0))</f>
        <v/>
      </c>
    </row>
    <row r="237">
      <c r="A237" s="7" t="n"/>
      <c r="B237" s="7" t="n"/>
      <c r="C237" s="7" t="n"/>
      <c r="D237" s="8">
        <f>IF(A237="","",IFERROR(SUMIFS(PRODUCCION!C:C,PRODUCCION!B:B,A237),0))</f>
        <v/>
      </c>
      <c r="E237" s="8">
        <f>IFERROR(C237*D237,0)</f>
        <v/>
      </c>
      <c r="F237" s="10">
        <f>IF(OR($A237="",$B237=""),"",IFERROR($C237*INDEX(INSUMOS!$K$5:$K$67,MATCH($B237,INSUMOS!$B$5:$B$67,0)),0))</f>
        <v/>
      </c>
    </row>
    <row r="238">
      <c r="A238" s="7" t="n"/>
      <c r="B238" s="7" t="n"/>
      <c r="C238" s="7" t="n"/>
      <c r="D238" s="8">
        <f>IF(A238="","",IFERROR(SUMIFS(PRODUCCION!C:C,PRODUCCION!B:B,A238),0))</f>
        <v/>
      </c>
      <c r="E238" s="8">
        <f>IFERROR(C238*D238,0)</f>
        <v/>
      </c>
      <c r="F238" s="10">
        <f>IF(OR($A238="",$B238=""),"",IFERROR($C238*INDEX(INSUMOS!$K$5:$K$67,MATCH($B238,INSUMOS!$B$5:$B$67,0)),0))</f>
        <v/>
      </c>
    </row>
    <row r="239">
      <c r="A239" s="7" t="n"/>
      <c r="B239" s="7" t="n"/>
      <c r="C239" s="7" t="n"/>
      <c r="D239" s="8">
        <f>IF(A239="","",IFERROR(SUMIFS(PRODUCCION!C:C,PRODUCCION!B:B,A239),0))</f>
        <v/>
      </c>
      <c r="E239" s="8">
        <f>IFERROR(C239*D239,0)</f>
        <v/>
      </c>
      <c r="F239" s="10">
        <f>IF(OR($A239="",$B239=""),"",IFERROR($C239*INDEX(INSUMOS!$K$5:$K$67,MATCH($B239,INSUMOS!$B$5:$B$67,0)),0))</f>
        <v/>
      </c>
    </row>
    <row r="240">
      <c r="A240" s="7" t="n"/>
      <c r="B240" s="7" t="n"/>
      <c r="C240" s="7" t="n"/>
      <c r="D240" s="8">
        <f>IF(A240="","",IFERROR(SUMIFS(PRODUCCION!C:C,PRODUCCION!B:B,A240),0))</f>
        <v/>
      </c>
      <c r="E240" s="8">
        <f>IFERROR(C240*D240,0)</f>
        <v/>
      </c>
      <c r="F240" s="10">
        <f>IF(OR($A240="",$B240=""),"",IFERROR($C240*INDEX(INSUMOS!$K$5:$K$67,MATCH($B240,INSUMOS!$B$5:$B$67,0)),0))</f>
        <v/>
      </c>
    </row>
    <row r="241">
      <c r="A241" s="7" t="n"/>
      <c r="B241" s="7" t="n"/>
      <c r="C241" s="7" t="n"/>
      <c r="D241" s="8">
        <f>IF(A241="","",IFERROR(SUMIFS(PRODUCCION!C:C,PRODUCCION!B:B,A241),0))</f>
        <v/>
      </c>
      <c r="E241" s="8">
        <f>IFERROR(C241*D241,0)</f>
        <v/>
      </c>
      <c r="F241" s="10">
        <f>IF(OR($A241="",$B241=""),"",IFERROR($C241*INDEX(INSUMOS!$K$5:$K$67,MATCH($B241,INSUMOS!$B$5:$B$67,0)),0))</f>
        <v/>
      </c>
    </row>
    <row r="242">
      <c r="A242" s="7" t="n"/>
      <c r="B242" s="7" t="n"/>
      <c r="C242" s="7" t="n"/>
      <c r="D242" s="8">
        <f>IF(A242="","",IFERROR(SUMIFS(PRODUCCION!C:C,PRODUCCION!B:B,A242),0))</f>
        <v/>
      </c>
      <c r="E242" s="8">
        <f>IFERROR(C242*D242,0)</f>
        <v/>
      </c>
      <c r="F242" s="10">
        <f>IF(OR($A242="",$B242=""),"",IFERROR($C242*INDEX(INSUMOS!$K$5:$K$67,MATCH($B242,INSUMOS!$B$5:$B$67,0)),0))</f>
        <v/>
      </c>
    </row>
    <row r="243">
      <c r="A243" s="7" t="n"/>
      <c r="B243" s="7" t="n"/>
      <c r="C243" s="7" t="n"/>
      <c r="D243" s="8">
        <f>IF(A243="","",IFERROR(SUMIFS(PRODUCCION!C:C,PRODUCCION!B:B,A243),0))</f>
        <v/>
      </c>
      <c r="E243" s="8">
        <f>IFERROR(C243*D243,0)</f>
        <v/>
      </c>
      <c r="F243" s="10">
        <f>IF(OR($A243="",$B243=""),"",IFERROR($C243*INDEX(INSUMOS!$K$5:$K$67,MATCH($B243,INSUMOS!$B$5:$B$67,0)),0))</f>
        <v/>
      </c>
    </row>
    <row r="244">
      <c r="A244" s="7" t="n"/>
      <c r="B244" s="7" t="n"/>
      <c r="C244" s="7" t="n"/>
      <c r="D244" s="8">
        <f>IF(A244="","",IFERROR(SUMIFS(PRODUCCION!C:C,PRODUCCION!B:B,A244),0))</f>
        <v/>
      </c>
      <c r="E244" s="8">
        <f>IFERROR(C244*D244,0)</f>
        <v/>
      </c>
      <c r="F244" s="10">
        <f>IF(OR($A244="",$B244=""),"",IFERROR($C244*INDEX(INSUMOS!$K$5:$K$67,MATCH($B244,INSUMOS!$B$5:$B$67,0)),0))</f>
        <v/>
      </c>
    </row>
    <row r="245">
      <c r="A245" s="7" t="n"/>
      <c r="B245" s="7" t="n"/>
      <c r="C245" s="7" t="n"/>
      <c r="D245" s="8">
        <f>IF(A245="","",IFERROR(SUMIFS(PRODUCCION!C:C,PRODUCCION!B:B,A245),0))</f>
        <v/>
      </c>
      <c r="E245" s="8">
        <f>IFERROR(C245*D245,0)</f>
        <v/>
      </c>
      <c r="F245" s="10">
        <f>IF(OR($A245="",$B245=""),"",IFERROR($C245*INDEX(INSUMOS!$K$5:$K$67,MATCH($B245,INSUMOS!$B$5:$B$67,0)),0))</f>
        <v/>
      </c>
    </row>
    <row r="246">
      <c r="A246" s="7" t="n"/>
      <c r="B246" s="7" t="n"/>
      <c r="C246" s="7" t="n"/>
      <c r="D246" s="8">
        <f>IF(A246="","",IFERROR(SUMIFS(PRODUCCION!C:C,PRODUCCION!B:B,A246),0))</f>
        <v/>
      </c>
      <c r="E246" s="8">
        <f>IFERROR(C246*D246,0)</f>
        <v/>
      </c>
      <c r="F246" s="10">
        <f>IF(OR($A246="",$B246=""),"",IFERROR($C246*INDEX(INSUMOS!$K$5:$K$67,MATCH($B246,INSUMOS!$B$5:$B$67,0)),0))</f>
        <v/>
      </c>
    </row>
    <row r="247">
      <c r="A247" s="7" t="n"/>
      <c r="B247" s="7" t="n"/>
      <c r="C247" s="7" t="n"/>
      <c r="D247" s="8">
        <f>IF(A247="","",IFERROR(SUMIFS(PRODUCCION!C:C,PRODUCCION!B:B,A247),0))</f>
        <v/>
      </c>
      <c r="E247" s="8">
        <f>IFERROR(C247*D247,0)</f>
        <v/>
      </c>
      <c r="F247" s="10">
        <f>IF(OR($A247="",$B247=""),"",IFERROR($C247*INDEX(INSUMOS!$K$5:$K$67,MATCH($B247,INSUMOS!$B$5:$B$67,0)),0))</f>
        <v/>
      </c>
    </row>
    <row r="248">
      <c r="A248" s="7" t="n"/>
      <c r="B248" s="7" t="n"/>
      <c r="C248" s="7" t="n"/>
      <c r="D248" s="8">
        <f>IF(A248="","",IFERROR(SUMIFS(PRODUCCION!C:C,PRODUCCION!B:B,A248),0))</f>
        <v/>
      </c>
      <c r="E248" s="8">
        <f>IFERROR(C248*D248,0)</f>
        <v/>
      </c>
      <c r="F248" s="10">
        <f>IF(OR($A248="",$B248=""),"",IFERROR($C248*INDEX(INSUMOS!$K$5:$K$67,MATCH($B248,INSUMOS!$B$5:$B$67,0)),0))</f>
        <v/>
      </c>
    </row>
    <row r="249">
      <c r="A249" s="7" t="n"/>
      <c r="B249" s="7" t="n"/>
      <c r="C249" s="7" t="n"/>
      <c r="D249" s="8">
        <f>IF(A249="","",IFERROR(SUMIFS(PRODUCCION!C:C,PRODUCCION!B:B,A249),0))</f>
        <v/>
      </c>
      <c r="E249" s="8">
        <f>IFERROR(C249*D249,0)</f>
        <v/>
      </c>
      <c r="F249" s="10">
        <f>IF(OR($A249="",$B249=""),"",IFERROR($C249*INDEX(INSUMOS!$K$5:$K$67,MATCH($B249,INSUMOS!$B$5:$B$67,0)),0))</f>
        <v/>
      </c>
    </row>
    <row r="250">
      <c r="A250" s="7" t="n"/>
      <c r="B250" s="7" t="n"/>
      <c r="C250" s="7" t="n"/>
      <c r="D250" s="8">
        <f>IF(A250="","",IFERROR(SUMIFS(PRODUCCION!C:C,PRODUCCION!B:B,A250),0))</f>
        <v/>
      </c>
      <c r="E250" s="8">
        <f>IFERROR(C250*D250,0)</f>
        <v/>
      </c>
      <c r="F250" s="10">
        <f>IF(OR($A250="",$B250=""),"",IFERROR($C250*INDEX(INSUMOS!$K$5:$K$67,MATCH($B250,INSUMOS!$B$5:$B$67,0)),0))</f>
        <v/>
      </c>
    </row>
    <row r="251">
      <c r="A251" s="7" t="n"/>
      <c r="B251" s="7" t="n"/>
      <c r="C251" s="7" t="n"/>
      <c r="D251" s="8">
        <f>IF(A251="","",IFERROR(SUMIFS(PRODUCCION!C:C,PRODUCCION!B:B,A251),0))</f>
        <v/>
      </c>
      <c r="E251" s="8">
        <f>IFERROR(C251*D251,0)</f>
        <v/>
      </c>
      <c r="F251" s="10">
        <f>IF(OR($A251="",$B251=""),"",IFERROR($C251*INDEX(INSUMOS!$K$5:$K$67,MATCH($B251,INSUMOS!$B$5:$B$67,0)),0))</f>
        <v/>
      </c>
    </row>
    <row r="252">
      <c r="A252" s="7" t="n"/>
      <c r="B252" s="7" t="n"/>
      <c r="C252" s="7" t="n"/>
      <c r="D252" s="8">
        <f>IF(A252="","",IFERROR(SUMIFS(PRODUCCION!C:C,PRODUCCION!B:B,A252),0))</f>
        <v/>
      </c>
      <c r="E252" s="8">
        <f>IFERROR(C252*D252,0)</f>
        <v/>
      </c>
      <c r="F252" s="10">
        <f>IF(OR($A252="",$B252=""),"",IFERROR($C252*INDEX(INSUMOS!$K$5:$K$67,MATCH($B252,INSUMOS!$B$5:$B$67,0)),0))</f>
        <v/>
      </c>
    </row>
    <row r="253">
      <c r="A253" s="7" t="n"/>
      <c r="B253" s="7" t="n"/>
      <c r="C253" s="7" t="n"/>
      <c r="D253" s="8">
        <f>IF(A253="","",IFERROR(SUMIFS(PRODUCCION!C:C,PRODUCCION!B:B,A253),0))</f>
        <v/>
      </c>
      <c r="E253" s="8">
        <f>IFERROR(C253*D253,0)</f>
        <v/>
      </c>
      <c r="F253" s="10">
        <f>IF(OR($A253="",$B253=""),"",IFERROR($C253*INDEX(INSUMOS!$K$5:$K$67,MATCH($B253,INSUMOS!$B$5:$B$67,0)),0))</f>
        <v/>
      </c>
    </row>
    <row r="254">
      <c r="A254" s="7" t="n"/>
      <c r="B254" s="7" t="n"/>
      <c r="C254" s="7" t="n"/>
      <c r="D254" s="8">
        <f>IF(A254="","",IFERROR(SUMIFS(PRODUCCION!C:C,PRODUCCION!B:B,A254),0))</f>
        <v/>
      </c>
      <c r="E254" s="8">
        <f>IFERROR(C254*D254,0)</f>
        <v/>
      </c>
      <c r="F254" s="10">
        <f>IF(OR($A254="",$B254=""),"",IFERROR($C254*INDEX(INSUMOS!$K$5:$K$67,MATCH($B254,INSUMOS!$B$5:$B$67,0)),0))</f>
        <v/>
      </c>
    </row>
    <row r="255">
      <c r="A255" s="7" t="n"/>
      <c r="B255" s="7" t="n"/>
      <c r="C255" s="7" t="n"/>
      <c r="D255" s="8">
        <f>IF(A255="","",IFERROR(SUMIFS(PRODUCCION!C:C,PRODUCCION!B:B,A255),0))</f>
        <v/>
      </c>
      <c r="E255" s="8">
        <f>IFERROR(C255*D255,0)</f>
        <v/>
      </c>
      <c r="F255" s="10">
        <f>IF(OR($A255="",$B255=""),"",IFERROR($C255*INDEX(INSUMOS!$K$5:$K$67,MATCH($B255,INSUMOS!$B$5:$B$67,0)),0))</f>
        <v/>
      </c>
    </row>
    <row r="256">
      <c r="A256" s="7" t="n"/>
      <c r="B256" s="7" t="n"/>
      <c r="C256" s="7" t="n"/>
      <c r="D256" s="8">
        <f>IF(A256="","",IFERROR(SUMIFS(PRODUCCION!C:C,PRODUCCION!B:B,A256),0))</f>
        <v/>
      </c>
      <c r="E256" s="8">
        <f>IFERROR(C256*D256,0)</f>
        <v/>
      </c>
      <c r="F256" s="10">
        <f>IF(OR($A256="",$B256=""),"",IFERROR($C256*INDEX(INSUMOS!$K$5:$K$67,MATCH($B256,INSUMOS!$B$5:$B$67,0)),0))</f>
        <v/>
      </c>
    </row>
    <row r="257">
      <c r="A257" s="7" t="n"/>
      <c r="B257" s="7" t="n"/>
      <c r="C257" s="7" t="n"/>
      <c r="D257" s="8">
        <f>IF(A257="","",IFERROR(SUMIFS(PRODUCCION!C:C,PRODUCCION!B:B,A257),0))</f>
        <v/>
      </c>
      <c r="E257" s="8">
        <f>IFERROR(C257*D257,0)</f>
        <v/>
      </c>
      <c r="F257" s="10">
        <f>IF(OR($A257="",$B257=""),"",IFERROR($C257*INDEX(INSUMOS!$K$5:$K$67,MATCH($B257,INSUMOS!$B$5:$B$67,0)),0))</f>
        <v/>
      </c>
    </row>
    <row r="258">
      <c r="A258" s="7" t="n"/>
      <c r="B258" s="7" t="n"/>
      <c r="C258" s="7" t="n"/>
      <c r="D258" s="8">
        <f>IF(A258="","",IFERROR(SUMIFS(PRODUCCION!C:C,PRODUCCION!B:B,A258),0))</f>
        <v/>
      </c>
      <c r="E258" s="8">
        <f>IFERROR(C258*D258,0)</f>
        <v/>
      </c>
      <c r="F258" s="10">
        <f>IF(OR($A258="",$B258=""),"",IFERROR($C258*INDEX(INSUMOS!$K$5:$K$67,MATCH($B258,INSUMOS!$B$5:$B$67,0)),0))</f>
        <v/>
      </c>
    </row>
    <row r="259">
      <c r="A259" s="7" t="n"/>
      <c r="B259" s="7" t="n"/>
      <c r="C259" s="7" t="n"/>
      <c r="D259" s="8">
        <f>IF(A259="","",IFERROR(SUMIFS(PRODUCCION!C:C,PRODUCCION!B:B,A259),0))</f>
        <v/>
      </c>
      <c r="E259" s="8">
        <f>IFERROR(C259*D259,0)</f>
        <v/>
      </c>
      <c r="F259" s="10">
        <f>IF(OR($A259="",$B259=""),"",IFERROR($C259*INDEX(INSUMOS!$K$5:$K$67,MATCH($B259,INSUMOS!$B$5:$B$67,0)),0))</f>
        <v/>
      </c>
    </row>
    <row r="260">
      <c r="A260" s="7" t="n"/>
      <c r="B260" s="7" t="n"/>
      <c r="C260" s="7" t="n"/>
      <c r="D260" s="8">
        <f>IF(A260="","",IFERROR(SUMIFS(PRODUCCION!C:C,PRODUCCION!B:B,A260),0))</f>
        <v/>
      </c>
      <c r="E260" s="8">
        <f>IFERROR(C260*D260,0)</f>
        <v/>
      </c>
      <c r="F260" s="10">
        <f>IF(OR($A260="",$B260=""),"",IFERROR($C260*INDEX(INSUMOS!$K$5:$K$67,MATCH($B260,INSUMOS!$B$5:$B$67,0)),0))</f>
        <v/>
      </c>
    </row>
    <row r="261">
      <c r="A261" s="7" t="n"/>
      <c r="B261" s="7" t="n"/>
      <c r="C261" s="7" t="n"/>
      <c r="D261" s="8">
        <f>IF(A261="","",IFERROR(SUMIFS(PRODUCCION!C:C,PRODUCCION!B:B,A261),0))</f>
        <v/>
      </c>
      <c r="E261" s="8">
        <f>IFERROR(C261*D261,0)</f>
        <v/>
      </c>
      <c r="F261" s="10">
        <f>IF(OR($A261="",$B261=""),"",IFERROR($C261*INDEX(INSUMOS!$K$5:$K$67,MATCH($B261,INSUMOS!$B$5:$B$67,0)),0))</f>
        <v/>
      </c>
    </row>
    <row r="262">
      <c r="A262" s="7" t="n"/>
      <c r="B262" s="7" t="n"/>
      <c r="C262" s="7" t="n"/>
      <c r="D262" s="8">
        <f>IF(A262="","",IFERROR(SUMIFS(PRODUCCION!C:C,PRODUCCION!B:B,A262),0))</f>
        <v/>
      </c>
      <c r="E262" s="8">
        <f>IFERROR(C262*D262,0)</f>
        <v/>
      </c>
      <c r="F262" s="10">
        <f>IF(OR($A262="",$B262=""),"",IFERROR($C262*INDEX(INSUMOS!$K$5:$K$67,MATCH($B262,INSUMOS!$B$5:$B$67,0)),0))</f>
        <v/>
      </c>
    </row>
    <row r="263">
      <c r="A263" s="7" t="n"/>
      <c r="B263" s="7" t="n"/>
      <c r="C263" s="7" t="n"/>
      <c r="D263" s="8">
        <f>IF(A263="","",IFERROR(SUMIFS(PRODUCCION!C:C,PRODUCCION!B:B,A263),0))</f>
        <v/>
      </c>
      <c r="E263" s="8">
        <f>IFERROR(C263*D263,0)</f>
        <v/>
      </c>
      <c r="F263" s="10">
        <f>IF(OR($A263="",$B263=""),"",IFERROR($C263*INDEX(INSUMOS!$K$5:$K$67,MATCH($B263,INSUMOS!$B$5:$B$67,0)),0))</f>
        <v/>
      </c>
    </row>
    <row r="264">
      <c r="A264" s="7" t="n"/>
      <c r="B264" s="7" t="n"/>
      <c r="C264" s="7" t="n"/>
      <c r="D264" s="8">
        <f>IF(A264="","",IFERROR(SUMIFS(PRODUCCION!C:C,PRODUCCION!B:B,A264),0))</f>
        <v/>
      </c>
      <c r="E264" s="8">
        <f>IFERROR(C264*D264,0)</f>
        <v/>
      </c>
      <c r="F264" s="10">
        <f>IF(OR($A264="",$B264=""),"",IFERROR($C264*INDEX(INSUMOS!$K$5:$K$67,MATCH($B264,INSUMOS!$B$5:$B$67,0)),0))</f>
        <v/>
      </c>
    </row>
    <row r="265">
      <c r="A265" s="7" t="n"/>
      <c r="B265" s="7" t="n"/>
      <c r="C265" s="7" t="n"/>
      <c r="D265" s="8">
        <f>IF(A265="","",IFERROR(SUMIFS(PRODUCCION!C:C,PRODUCCION!B:B,A265),0))</f>
        <v/>
      </c>
      <c r="E265" s="8">
        <f>IFERROR(C265*D265,0)</f>
        <v/>
      </c>
      <c r="F265" s="10">
        <f>IF(OR($A265="",$B265=""),"",IFERROR($C265*INDEX(INSUMOS!$K$5:$K$67,MATCH($B265,INSUMOS!$B$5:$B$67,0)),0))</f>
        <v/>
      </c>
    </row>
    <row r="266">
      <c r="A266" s="7" t="n"/>
      <c r="B266" s="7" t="n"/>
      <c r="C266" s="7" t="n"/>
      <c r="D266" s="8">
        <f>IF(A266="","",IFERROR(SUMIFS(PRODUCCION!C:C,PRODUCCION!B:B,A266),0))</f>
        <v/>
      </c>
      <c r="E266" s="8">
        <f>IFERROR(C266*D266,0)</f>
        <v/>
      </c>
      <c r="F266" s="10">
        <f>IF(OR($A266="",$B266=""),"",IFERROR($C266*INDEX(INSUMOS!$K$5:$K$67,MATCH($B266,INSUMOS!$B$5:$B$67,0)),0))</f>
        <v/>
      </c>
    </row>
    <row r="267">
      <c r="A267" s="7" t="n"/>
      <c r="B267" s="7" t="n"/>
      <c r="C267" s="7" t="n"/>
      <c r="D267" s="8">
        <f>IF(A267="","",IFERROR(SUMIFS(PRODUCCION!C:C,PRODUCCION!B:B,A267),0))</f>
        <v/>
      </c>
      <c r="E267" s="8">
        <f>IFERROR(C267*D267,0)</f>
        <v/>
      </c>
      <c r="F267" s="10">
        <f>IF(OR($A267="",$B267=""),"",IFERROR($C267*INDEX(INSUMOS!$K$5:$K$67,MATCH($B267,INSUMOS!$B$5:$B$67,0)),0))</f>
        <v/>
      </c>
    </row>
    <row r="268">
      <c r="A268" s="7" t="n"/>
      <c r="B268" s="7" t="n"/>
      <c r="C268" s="7" t="n"/>
      <c r="D268" s="8">
        <f>IF(A268="","",IFERROR(SUMIFS(PRODUCCION!C:C,PRODUCCION!B:B,A268),0))</f>
        <v/>
      </c>
      <c r="E268" s="8">
        <f>IFERROR(C268*D268,0)</f>
        <v/>
      </c>
      <c r="F268" s="10">
        <f>IF(OR($A268="",$B268=""),"",IFERROR($C268*INDEX(INSUMOS!$K$5:$K$67,MATCH($B268,INSUMOS!$B$5:$B$67,0)),0))</f>
        <v/>
      </c>
    </row>
    <row r="269">
      <c r="A269" s="7" t="n"/>
      <c r="B269" s="7" t="n"/>
      <c r="C269" s="7" t="n"/>
      <c r="D269" s="8">
        <f>IF(A269="","",IFERROR(SUMIFS(PRODUCCION!C:C,PRODUCCION!B:B,A269),0))</f>
        <v/>
      </c>
      <c r="E269" s="8">
        <f>IFERROR(C269*D269,0)</f>
        <v/>
      </c>
      <c r="F269" s="10">
        <f>IF(OR($A269="",$B269=""),"",IFERROR($C269*INDEX(INSUMOS!$K$5:$K$67,MATCH($B269,INSUMOS!$B$5:$B$67,0)),0))</f>
        <v/>
      </c>
    </row>
    <row r="270">
      <c r="A270" s="7" t="n"/>
      <c r="B270" s="7" t="n"/>
      <c r="C270" s="7" t="n"/>
      <c r="D270" s="8">
        <f>IF(A270="","",IFERROR(SUMIFS(PRODUCCION!C:C,PRODUCCION!B:B,A270),0))</f>
        <v/>
      </c>
      <c r="E270" s="8">
        <f>IFERROR(C270*D270,0)</f>
        <v/>
      </c>
      <c r="F270" s="10">
        <f>IF(OR($A270="",$B270=""),"",IFERROR($C270*INDEX(INSUMOS!$K$5:$K$67,MATCH($B270,INSUMOS!$B$5:$B$67,0)),0))</f>
        <v/>
      </c>
    </row>
    <row r="271">
      <c r="A271" s="7" t="n"/>
      <c r="B271" s="7" t="n"/>
      <c r="C271" s="7" t="n"/>
      <c r="D271" s="8">
        <f>IF(A271="","",IFERROR(SUMIFS(PRODUCCION!C:C,PRODUCCION!B:B,A271),0))</f>
        <v/>
      </c>
      <c r="E271" s="8">
        <f>IFERROR(C271*D271,0)</f>
        <v/>
      </c>
      <c r="F271" s="10">
        <f>IF(OR($A271="",$B271=""),"",IFERROR($C271*INDEX(INSUMOS!$K$5:$K$67,MATCH($B271,INSUMOS!$B$5:$B$67,0)),0))</f>
        <v/>
      </c>
    </row>
    <row r="272">
      <c r="A272" s="7" t="n"/>
      <c r="B272" s="7" t="n"/>
      <c r="C272" s="7" t="n"/>
      <c r="D272" s="8">
        <f>IF(A272="","",IFERROR(SUMIFS(PRODUCCION!C:C,PRODUCCION!B:B,A272),0))</f>
        <v/>
      </c>
      <c r="E272" s="8">
        <f>IFERROR(C272*D272,0)</f>
        <v/>
      </c>
      <c r="F272" s="10">
        <f>IF(OR($A272="",$B272=""),"",IFERROR($C272*INDEX(INSUMOS!$K$5:$K$67,MATCH($B272,INSUMOS!$B$5:$B$67,0)),0))</f>
        <v/>
      </c>
    </row>
    <row r="273">
      <c r="A273" s="7" t="n"/>
      <c r="B273" s="7" t="n"/>
      <c r="C273" s="7" t="n"/>
      <c r="D273" s="8">
        <f>IF(A273="","",IFERROR(SUMIFS(PRODUCCION!C:C,PRODUCCION!B:B,A273),0))</f>
        <v/>
      </c>
      <c r="E273" s="8">
        <f>IFERROR(C273*D273,0)</f>
        <v/>
      </c>
      <c r="F273" s="10">
        <f>IF(OR($A273="",$B273=""),"",IFERROR($C273*INDEX(INSUMOS!$K$5:$K$67,MATCH($B273,INSUMOS!$B$5:$B$67,0)),0))</f>
        <v/>
      </c>
    </row>
    <row r="274">
      <c r="A274" s="7" t="n"/>
      <c r="B274" s="7" t="n"/>
      <c r="C274" s="7" t="n"/>
      <c r="D274" s="8">
        <f>IF(A274="","",IFERROR(SUMIFS(PRODUCCION!C:C,PRODUCCION!B:B,A274),0))</f>
        <v/>
      </c>
      <c r="E274" s="8">
        <f>IFERROR(C274*D274,0)</f>
        <v/>
      </c>
      <c r="F274" s="10">
        <f>IF(OR($A274="",$B274=""),"",IFERROR($C274*INDEX(INSUMOS!$K$5:$K$67,MATCH($B274,INSUMOS!$B$5:$B$67,0)),0))</f>
        <v/>
      </c>
    </row>
    <row r="275">
      <c r="A275" s="7" t="n"/>
      <c r="B275" s="7" t="n"/>
      <c r="C275" s="7" t="n"/>
      <c r="D275" s="8">
        <f>IF(A275="","",IFERROR(SUMIFS(PRODUCCION!C:C,PRODUCCION!B:B,A275),0))</f>
        <v/>
      </c>
      <c r="E275" s="8">
        <f>IFERROR(C275*D275,0)</f>
        <v/>
      </c>
      <c r="F275" s="10">
        <f>IF(OR($A275="",$B275=""),"",IFERROR($C275*INDEX(INSUMOS!$K$5:$K$67,MATCH($B275,INSUMOS!$B$5:$B$67,0)),0))</f>
        <v/>
      </c>
    </row>
    <row r="276">
      <c r="A276" s="7" t="n"/>
      <c r="B276" s="7" t="n"/>
      <c r="C276" s="7" t="n"/>
      <c r="D276" s="8">
        <f>IF(A276="","",IFERROR(SUMIFS(PRODUCCION!C:C,PRODUCCION!B:B,A276),0))</f>
        <v/>
      </c>
      <c r="E276" s="8">
        <f>IFERROR(C276*D276,0)</f>
        <v/>
      </c>
      <c r="F276" s="10">
        <f>IF(OR($A276="",$B276=""),"",IFERROR($C276*INDEX(INSUMOS!$K$5:$K$67,MATCH($B276,INSUMOS!$B$5:$B$67,0)),0))</f>
        <v/>
      </c>
    </row>
    <row r="277">
      <c r="A277" s="7" t="n"/>
      <c r="B277" s="7" t="n"/>
      <c r="C277" s="7" t="n"/>
      <c r="D277" s="8">
        <f>IF(A277="","",IFERROR(SUMIFS(PRODUCCION!C:C,PRODUCCION!B:B,A277),0))</f>
        <v/>
      </c>
      <c r="E277" s="8">
        <f>IFERROR(C277*D277,0)</f>
        <v/>
      </c>
      <c r="F277" s="10">
        <f>IF(OR($A277="",$B277=""),"",IFERROR($C277*INDEX(INSUMOS!$K$5:$K$67,MATCH($B277,INSUMOS!$B$5:$B$67,0)),0))</f>
        <v/>
      </c>
    </row>
    <row r="278">
      <c r="A278" s="7" t="n"/>
      <c r="B278" s="7" t="n"/>
      <c r="C278" s="7" t="n"/>
      <c r="D278" s="8">
        <f>IF(A278="","",IFERROR(SUMIFS(PRODUCCION!C:C,PRODUCCION!B:B,A278),0))</f>
        <v/>
      </c>
      <c r="E278" s="8">
        <f>IFERROR(C278*D278,0)</f>
        <v/>
      </c>
      <c r="F278" s="10">
        <f>IF(OR($A278="",$B278=""),"",IFERROR($C278*INDEX(INSUMOS!$K$5:$K$67,MATCH($B278,INSUMOS!$B$5:$B$67,0)),0))</f>
        <v/>
      </c>
    </row>
    <row r="279">
      <c r="A279" s="7" t="n"/>
      <c r="B279" s="7" t="n"/>
      <c r="C279" s="7" t="n"/>
      <c r="D279" s="8">
        <f>IF(A279="","",IFERROR(SUMIFS(PRODUCCION!C:C,PRODUCCION!B:B,A279),0))</f>
        <v/>
      </c>
      <c r="E279" s="8">
        <f>IFERROR(C279*D279,0)</f>
        <v/>
      </c>
      <c r="F279" s="10">
        <f>IF(OR($A279="",$B279=""),"",IFERROR($C279*INDEX(INSUMOS!$K$5:$K$67,MATCH($B279,INSUMOS!$B$5:$B$67,0)),0))</f>
        <v/>
      </c>
    </row>
    <row r="280">
      <c r="A280" s="7" t="n"/>
      <c r="B280" s="7" t="n"/>
      <c r="C280" s="7" t="n"/>
      <c r="D280" s="8">
        <f>IF(A280="","",IFERROR(SUMIFS(PRODUCCION!C:C,PRODUCCION!B:B,A280),0))</f>
        <v/>
      </c>
      <c r="E280" s="8">
        <f>IFERROR(C280*D280,0)</f>
        <v/>
      </c>
      <c r="F280" s="10">
        <f>IF(OR($A280="",$B280=""),"",IFERROR($C280*INDEX(INSUMOS!$K$5:$K$67,MATCH($B280,INSUMOS!$B$5:$B$67,0)),0))</f>
        <v/>
      </c>
    </row>
    <row r="281">
      <c r="A281" s="7" t="n"/>
      <c r="B281" s="7" t="n"/>
      <c r="C281" s="7" t="n"/>
      <c r="D281" s="8">
        <f>IF(A281="","",IFERROR(SUMIFS(PRODUCCION!C:C,PRODUCCION!B:B,A281),0))</f>
        <v/>
      </c>
      <c r="E281" s="8">
        <f>IFERROR(C281*D281,0)</f>
        <v/>
      </c>
      <c r="F281" s="10">
        <f>IF(OR($A281="",$B281=""),"",IFERROR($C281*INDEX(INSUMOS!$K$5:$K$67,MATCH($B281,INSUMOS!$B$5:$B$67,0)),0))</f>
        <v/>
      </c>
    </row>
    <row r="282">
      <c r="A282" s="7" t="n"/>
      <c r="B282" s="7" t="n"/>
      <c r="C282" s="7" t="n"/>
      <c r="D282" s="8">
        <f>IF(A282="","",IFERROR(SUMIFS(PRODUCCION!C:C,PRODUCCION!B:B,A282),0))</f>
        <v/>
      </c>
      <c r="E282" s="8">
        <f>IFERROR(C282*D282,0)</f>
        <v/>
      </c>
      <c r="F282" s="10">
        <f>IF(OR($A282="",$B282=""),"",IFERROR($C282*INDEX(INSUMOS!$K$5:$K$67,MATCH($B282,INSUMOS!$B$5:$B$67,0)),0))</f>
        <v/>
      </c>
    </row>
    <row r="283">
      <c r="A283" s="7" t="n"/>
      <c r="B283" s="7" t="n"/>
      <c r="C283" s="7" t="n"/>
      <c r="D283" s="8">
        <f>IF(A283="","",IFERROR(SUMIFS(PRODUCCION!C:C,PRODUCCION!B:B,A283),0))</f>
        <v/>
      </c>
      <c r="E283" s="8">
        <f>IFERROR(C283*D283,0)</f>
        <v/>
      </c>
      <c r="F283" s="10">
        <f>IF(OR($A283="",$B283=""),"",IFERROR($C283*INDEX(INSUMOS!$K$5:$K$67,MATCH($B283,INSUMOS!$B$5:$B$67,0)),0))</f>
        <v/>
      </c>
    </row>
    <row r="284">
      <c r="A284" s="7" t="n"/>
      <c r="B284" s="7" t="n"/>
      <c r="C284" s="7" t="n"/>
      <c r="D284" s="8">
        <f>IF(A284="","",IFERROR(SUMIFS(PRODUCCION!C:C,PRODUCCION!B:B,A284),0))</f>
        <v/>
      </c>
      <c r="E284" s="8">
        <f>IFERROR(C284*D284,0)</f>
        <v/>
      </c>
      <c r="F284" s="10">
        <f>IF(OR($A284="",$B284=""),"",IFERROR($C284*INDEX(INSUMOS!$K$5:$K$67,MATCH($B284,INSUMOS!$B$5:$B$67,0)),0))</f>
        <v/>
      </c>
    </row>
    <row r="285">
      <c r="A285" s="7" t="n"/>
      <c r="B285" s="7" t="n"/>
      <c r="C285" s="7" t="n"/>
      <c r="D285" s="8">
        <f>IF(A285="","",IFERROR(SUMIFS(PRODUCCION!C:C,PRODUCCION!B:B,A285),0))</f>
        <v/>
      </c>
      <c r="E285" s="8">
        <f>IFERROR(C285*D285,0)</f>
        <v/>
      </c>
      <c r="F285" s="10">
        <f>IF(OR($A285="",$B285=""),"",IFERROR($C285*INDEX(INSUMOS!$K$5:$K$67,MATCH($B285,INSUMOS!$B$5:$B$67,0)),0))</f>
        <v/>
      </c>
    </row>
    <row r="286">
      <c r="A286" s="7" t="n"/>
      <c r="B286" s="7" t="n"/>
      <c r="C286" s="7" t="n"/>
      <c r="D286" s="8">
        <f>IF(A286="","",IFERROR(SUMIFS(PRODUCCION!C:C,PRODUCCION!B:B,A286),0))</f>
        <v/>
      </c>
      <c r="E286" s="8">
        <f>IFERROR(C286*D286,0)</f>
        <v/>
      </c>
      <c r="F286" s="10">
        <f>IF(OR($A286="",$B286=""),"",IFERROR($C286*INDEX(INSUMOS!$K$5:$K$67,MATCH($B286,INSUMOS!$B$5:$B$67,0)),0))</f>
        <v/>
      </c>
    </row>
    <row r="287">
      <c r="A287" s="7" t="n"/>
      <c r="B287" s="7" t="n"/>
      <c r="C287" s="7" t="n"/>
      <c r="D287" s="8">
        <f>IF(A287="","",IFERROR(SUMIFS(PRODUCCION!C:C,PRODUCCION!B:B,A287),0))</f>
        <v/>
      </c>
      <c r="E287" s="8">
        <f>IFERROR(C287*D287,0)</f>
        <v/>
      </c>
      <c r="F287" s="10">
        <f>IF(OR($A287="",$B287=""),"",IFERROR($C287*INDEX(INSUMOS!$K$5:$K$67,MATCH($B287,INSUMOS!$B$5:$B$67,0)),0))</f>
        <v/>
      </c>
    </row>
    <row r="288">
      <c r="A288" s="7" t="n"/>
      <c r="B288" s="7" t="n"/>
      <c r="C288" s="7" t="n"/>
      <c r="D288" s="8">
        <f>IF(A288="","",IFERROR(SUMIFS(PRODUCCION!C:C,PRODUCCION!B:B,A288),0))</f>
        <v/>
      </c>
      <c r="E288" s="8">
        <f>IFERROR(C288*D288,0)</f>
        <v/>
      </c>
      <c r="F288" s="10">
        <f>IF(OR($A288="",$B288=""),"",IFERROR($C288*INDEX(INSUMOS!$K$5:$K$67,MATCH($B288,INSUMOS!$B$5:$B$67,0)),0))</f>
        <v/>
      </c>
    </row>
    <row r="289">
      <c r="A289" s="7" t="n"/>
      <c r="B289" s="7" t="n"/>
      <c r="C289" s="7" t="n"/>
      <c r="D289" s="8">
        <f>IF(A289="","",IFERROR(SUMIFS(PRODUCCION!C:C,PRODUCCION!B:B,A289),0))</f>
        <v/>
      </c>
      <c r="E289" s="8">
        <f>IFERROR(C289*D289,0)</f>
        <v/>
      </c>
      <c r="F289" s="10">
        <f>IF(OR($A289="",$B289=""),"",IFERROR($C289*INDEX(INSUMOS!$K$5:$K$67,MATCH($B289,INSUMOS!$B$5:$B$67,0)),0))</f>
        <v/>
      </c>
    </row>
    <row r="290">
      <c r="A290" s="7" t="n"/>
      <c r="B290" s="7" t="n"/>
      <c r="C290" s="7" t="n"/>
      <c r="D290" s="8">
        <f>IF(A290="","",IFERROR(SUMIFS(PRODUCCION!C:C,PRODUCCION!B:B,A290),0))</f>
        <v/>
      </c>
      <c r="E290" s="8">
        <f>IFERROR(C290*D290,0)</f>
        <v/>
      </c>
      <c r="F290" s="10">
        <f>IF(OR($A290="",$B290=""),"",IFERROR($C290*INDEX(INSUMOS!$K$5:$K$67,MATCH($B290,INSUMOS!$B$5:$B$67,0)),0))</f>
        <v/>
      </c>
    </row>
    <row r="291">
      <c r="A291" s="7" t="n"/>
      <c r="B291" s="7" t="n"/>
      <c r="C291" s="7" t="n"/>
      <c r="D291" s="8">
        <f>IF(A291="","",IFERROR(SUMIFS(PRODUCCION!C:C,PRODUCCION!B:B,A291),0))</f>
        <v/>
      </c>
      <c r="E291" s="8">
        <f>IFERROR(C291*D291,0)</f>
        <v/>
      </c>
      <c r="F291" s="10">
        <f>IF(OR($A291="",$B291=""),"",IFERROR($C291*INDEX(INSUMOS!$K$5:$K$67,MATCH($B291,INSUMOS!$B$5:$B$67,0)),0))</f>
        <v/>
      </c>
    </row>
    <row r="292">
      <c r="A292" s="7" t="n"/>
      <c r="B292" s="7" t="n"/>
      <c r="C292" s="7" t="n"/>
      <c r="D292" s="8">
        <f>IF(A292="","",IFERROR(SUMIFS(PRODUCCION!C:C,PRODUCCION!B:B,A292),0))</f>
        <v/>
      </c>
      <c r="E292" s="8">
        <f>IFERROR(C292*D292,0)</f>
        <v/>
      </c>
      <c r="F292" s="10">
        <f>IF(OR($A292="",$B292=""),"",IFERROR($C292*INDEX(INSUMOS!$K$5:$K$67,MATCH($B292,INSUMOS!$B$5:$B$67,0)),0))</f>
        <v/>
      </c>
    </row>
    <row r="293">
      <c r="A293" s="7" t="n"/>
      <c r="B293" s="7" t="n"/>
      <c r="C293" s="7" t="n"/>
      <c r="D293" s="8">
        <f>IF(A293="","",IFERROR(SUMIFS(PRODUCCION!C:C,PRODUCCION!B:B,A293),0))</f>
        <v/>
      </c>
      <c r="E293" s="8">
        <f>IFERROR(C293*D293,0)</f>
        <v/>
      </c>
      <c r="F293" s="10">
        <f>IF(OR($A293="",$B293=""),"",IFERROR($C293*INDEX(INSUMOS!$K$5:$K$67,MATCH($B293,INSUMOS!$B$5:$B$67,0)),0))</f>
        <v/>
      </c>
    </row>
    <row r="294">
      <c r="A294" s="7" t="n"/>
      <c r="B294" s="7" t="n"/>
      <c r="C294" s="7" t="n"/>
      <c r="D294" s="8">
        <f>IF(A294="","",IFERROR(SUMIFS(PRODUCCION!C:C,PRODUCCION!B:B,A294),0))</f>
        <v/>
      </c>
      <c r="E294" s="8">
        <f>IFERROR(C294*D294,0)</f>
        <v/>
      </c>
      <c r="F294" s="10">
        <f>IF(OR($A294="",$B294=""),"",IFERROR($C294*INDEX(INSUMOS!$K$5:$K$67,MATCH($B294,INSUMOS!$B$5:$B$67,0)),0))</f>
        <v/>
      </c>
    </row>
    <row r="295">
      <c r="A295" s="7" t="n"/>
      <c r="B295" s="7" t="n"/>
      <c r="C295" s="7" t="n"/>
      <c r="D295" s="8">
        <f>IF(A295="","",IFERROR(SUMIFS(PRODUCCION!C:C,PRODUCCION!B:B,A295),0))</f>
        <v/>
      </c>
      <c r="E295" s="8">
        <f>IFERROR(C295*D295,0)</f>
        <v/>
      </c>
      <c r="F295" s="10">
        <f>IF(OR($A295="",$B295=""),"",IFERROR($C295*INDEX(INSUMOS!$K$5:$K$67,MATCH($B295,INSUMOS!$B$5:$B$67,0)),0))</f>
        <v/>
      </c>
    </row>
    <row r="296">
      <c r="A296" s="7" t="n"/>
      <c r="B296" s="7" t="n"/>
      <c r="C296" s="7" t="n"/>
      <c r="D296" s="8">
        <f>IF(A296="","",IFERROR(SUMIFS(PRODUCCION!C:C,PRODUCCION!B:B,A296),0))</f>
        <v/>
      </c>
      <c r="E296" s="8">
        <f>IFERROR(C296*D296,0)</f>
        <v/>
      </c>
      <c r="F296" s="10">
        <f>IF(OR($A296="",$B296=""),"",IFERROR($C296*INDEX(INSUMOS!$K$5:$K$67,MATCH($B296,INSUMOS!$B$5:$B$67,0)),0))</f>
        <v/>
      </c>
    </row>
    <row r="297">
      <c r="A297" s="7" t="n"/>
      <c r="B297" s="7" t="n"/>
      <c r="C297" s="7" t="n"/>
      <c r="D297" s="8">
        <f>IF(A297="","",IFERROR(SUMIFS(PRODUCCION!C:C,PRODUCCION!B:B,A297),0))</f>
        <v/>
      </c>
      <c r="E297" s="8">
        <f>IFERROR(C297*D297,0)</f>
        <v/>
      </c>
      <c r="F297" s="10">
        <f>IF(OR($A297="",$B297=""),"",IFERROR($C297*INDEX(INSUMOS!$K$5:$K$67,MATCH($B297,INSUMOS!$B$5:$B$67,0)),0))</f>
        <v/>
      </c>
    </row>
    <row r="298">
      <c r="A298" s="7" t="n"/>
      <c r="B298" s="7" t="n"/>
      <c r="C298" s="7" t="n"/>
      <c r="D298" s="8">
        <f>IF(A298="","",IFERROR(SUMIFS(PRODUCCION!C:C,PRODUCCION!B:B,A298),0))</f>
        <v/>
      </c>
      <c r="E298" s="8">
        <f>IFERROR(C298*D298,0)</f>
        <v/>
      </c>
      <c r="F298" s="10">
        <f>IF(OR($A298="",$B298=""),"",IFERROR($C298*INDEX(INSUMOS!$K$5:$K$67,MATCH($B298,INSUMOS!$B$5:$B$67,0)),0))</f>
        <v/>
      </c>
    </row>
    <row r="299">
      <c r="A299" s="7" t="n"/>
      <c r="B299" s="7" t="n"/>
      <c r="C299" s="7" t="n"/>
      <c r="D299" s="8">
        <f>IF(A299="","",IFERROR(SUMIFS(PRODUCCION!C:C,PRODUCCION!B:B,A299),0))</f>
        <v/>
      </c>
      <c r="E299" s="8">
        <f>IFERROR(C299*D299,0)</f>
        <v/>
      </c>
      <c r="F299" s="10">
        <f>IF(OR($A299="",$B299=""),"",IFERROR($C299*INDEX(INSUMOS!$K$5:$K$67,MATCH($B299,INSUMOS!$B$5:$B$67,0)),0))</f>
        <v/>
      </c>
    </row>
    <row r="300">
      <c r="A300" s="7" t="n"/>
      <c r="B300" s="7" t="n"/>
      <c r="C300" s="7" t="n"/>
      <c r="D300" s="8">
        <f>IF(A300="","",IFERROR(SUMIFS(PRODUCCION!C:C,PRODUCCION!B:B,A300),0))</f>
        <v/>
      </c>
      <c r="E300" s="8">
        <f>IFERROR(C300*D300,0)</f>
        <v/>
      </c>
      <c r="F300" s="10">
        <f>IF(OR($A300="",$B300=""),"",IFERROR($C300*INDEX(INSUMOS!$K$5:$K$67,MATCH($B300,INSUMOS!$B$5:$B$67,0)),0))</f>
        <v/>
      </c>
    </row>
    <row r="301">
      <c r="A301" s="7" t="n"/>
      <c r="B301" s="7" t="n"/>
      <c r="C301" s="7" t="n"/>
      <c r="D301" s="8">
        <f>IF(A301="","",IFERROR(SUMIFS(PRODUCCION!C:C,PRODUCCION!B:B,A301),0))</f>
        <v/>
      </c>
      <c r="E301" s="8">
        <f>IFERROR(C301*D301,0)</f>
        <v/>
      </c>
      <c r="F301" s="10">
        <f>IF(OR($A301="",$B301=""),"",IFERROR($C301*INDEX(INSUMOS!$K$5:$K$67,MATCH($B301,INSUMOS!$B$5:$B$67,0)),0))</f>
        <v/>
      </c>
    </row>
    <row r="302">
      <c r="A302" s="7" t="n"/>
      <c r="B302" s="7" t="n"/>
      <c r="C302" s="7" t="n"/>
      <c r="D302" s="8">
        <f>IF(A302="","",IFERROR(SUMIFS(PRODUCCION!C:C,PRODUCCION!B:B,A302),0))</f>
        <v/>
      </c>
      <c r="E302" s="8">
        <f>IFERROR(C302*D302,0)</f>
        <v/>
      </c>
      <c r="F302" s="10">
        <f>IF(OR($A302="",$B302=""),"",IFERROR($C302*INDEX(INSUMOS!$K$5:$K$67,MATCH($B302,INSUMOS!$B$5:$B$67,0)),0))</f>
        <v/>
      </c>
    </row>
    <row r="303">
      <c r="A303" s="7" t="n"/>
      <c r="B303" s="7" t="n"/>
      <c r="C303" s="7" t="n"/>
      <c r="D303" s="8">
        <f>IF(A303="","",IFERROR(SUMIFS(PRODUCCION!C:C,PRODUCCION!B:B,A303),0))</f>
        <v/>
      </c>
      <c r="E303" s="8">
        <f>IFERROR(C303*D303,0)</f>
        <v/>
      </c>
      <c r="F303" s="10">
        <f>IF(OR($A303="",$B303=""),"",IFERROR($C303*INDEX(INSUMOS!$K$5:$K$67,MATCH($B303,INSUMOS!$B$5:$B$67,0)),0))</f>
        <v/>
      </c>
    </row>
    <row r="304">
      <c r="A304" s="7" t="n"/>
      <c r="B304" s="7" t="n"/>
      <c r="C304" s="7" t="n"/>
      <c r="D304" s="8">
        <f>IF(A304="","",IFERROR(SUMIFS(PRODUCCION!C:C,PRODUCCION!B:B,A304),0))</f>
        <v/>
      </c>
      <c r="E304" s="8">
        <f>IFERROR(C304*D304,0)</f>
        <v/>
      </c>
      <c r="F304" s="10">
        <f>IF(OR($A304="",$B304=""),"",IFERROR($C304*INDEX(INSUMOS!$K$5:$K$67,MATCH($B304,INSUMOS!$B$5:$B$67,0)),0))</f>
        <v/>
      </c>
    </row>
    <row r="305">
      <c r="A305" s="7" t="n"/>
      <c r="B305" s="7" t="n"/>
      <c r="C305" s="7" t="n"/>
      <c r="D305" s="8">
        <f>IF(A305="","",IFERROR(SUMIFS(PRODUCCION!C:C,PRODUCCION!B:B,A305),0))</f>
        <v/>
      </c>
      <c r="E305" s="8">
        <f>IFERROR(C305*D305,0)</f>
        <v/>
      </c>
      <c r="F305" s="10">
        <f>IF(OR($A305="",$B305=""),"",IFERROR($C305*INDEX(INSUMOS!$K$5:$K$67,MATCH($B305,INSUMOS!$B$5:$B$67,0)),0))</f>
        <v/>
      </c>
    </row>
    <row r="306">
      <c r="A306" s="7" t="n"/>
      <c r="B306" s="7" t="n"/>
      <c r="C306" s="7" t="n"/>
      <c r="D306" s="8">
        <f>IF(A306="","",IFERROR(SUMIFS(PRODUCCION!C:C,PRODUCCION!B:B,A306),0))</f>
        <v/>
      </c>
      <c r="E306" s="8">
        <f>IFERROR(C306*D306,0)</f>
        <v/>
      </c>
      <c r="F306" s="10">
        <f>IF(OR($A306="",$B306=""),"",IFERROR($C306*INDEX(INSUMOS!$K$5:$K$67,MATCH($B306,INSUMOS!$B$5:$B$67,0)),0))</f>
        <v/>
      </c>
    </row>
    <row r="307">
      <c r="A307" s="7" t="n"/>
      <c r="B307" s="7" t="n"/>
      <c r="C307" s="7" t="n"/>
      <c r="D307" s="8">
        <f>IF(A307="","",IFERROR(SUMIFS(PRODUCCION!C:C,PRODUCCION!B:B,A307),0))</f>
        <v/>
      </c>
      <c r="E307" s="8">
        <f>IFERROR(C307*D307,0)</f>
        <v/>
      </c>
      <c r="F307" s="10">
        <f>IF(OR($A307="",$B307=""),"",IFERROR($C307*INDEX(INSUMOS!$K$5:$K$67,MATCH($B307,INSUMOS!$B$5:$B$67,0)),0))</f>
        <v/>
      </c>
    </row>
    <row r="308">
      <c r="A308" s="7" t="n"/>
      <c r="B308" s="7" t="n"/>
      <c r="C308" s="7" t="n"/>
      <c r="D308" s="8">
        <f>IF(A308="","",IFERROR(SUMIFS(PRODUCCION!C:C,PRODUCCION!B:B,A308),0))</f>
        <v/>
      </c>
      <c r="E308" s="8">
        <f>IFERROR(C308*D308,0)</f>
        <v/>
      </c>
      <c r="F308" s="10">
        <f>IF(OR($A308="",$B308=""),"",IFERROR($C308*INDEX(INSUMOS!$K$5:$K$67,MATCH($B308,INSUMOS!$B$5:$B$67,0)),0))</f>
        <v/>
      </c>
    </row>
    <row r="309">
      <c r="A309" s="7" t="n"/>
      <c r="B309" s="7" t="n"/>
      <c r="C309" s="7" t="n"/>
      <c r="D309" s="8">
        <f>IF(A309="","",IFERROR(SUMIFS(PRODUCCION!C:C,PRODUCCION!B:B,A309),0))</f>
        <v/>
      </c>
      <c r="E309" s="8">
        <f>IFERROR(C309*D309,0)</f>
        <v/>
      </c>
      <c r="F309" s="10">
        <f>IF(OR($A309="",$B309=""),"",IFERROR($C309*INDEX(INSUMOS!$K$5:$K$67,MATCH($B309,INSUMOS!$B$5:$B$67,0)),0))</f>
        <v/>
      </c>
    </row>
    <row r="310">
      <c r="A310" s="7" t="n"/>
      <c r="B310" s="7" t="n"/>
      <c r="C310" s="7" t="n"/>
      <c r="D310" s="8">
        <f>IF(A310="","",IFERROR(SUMIFS(PRODUCCION!C:C,PRODUCCION!B:B,A310),0))</f>
        <v/>
      </c>
      <c r="E310" s="8">
        <f>IFERROR(C310*D310,0)</f>
        <v/>
      </c>
      <c r="F310" s="10">
        <f>IF(OR($A310="",$B310=""),"",IFERROR($C310*INDEX(INSUMOS!$K$5:$K$67,MATCH($B310,INSUMOS!$B$5:$B$67,0)),0))</f>
        <v/>
      </c>
    </row>
    <row r="311">
      <c r="A311" s="7" t="n"/>
      <c r="B311" s="7" t="n"/>
      <c r="C311" s="7" t="n"/>
      <c r="D311" s="8">
        <f>IF(A311="","",IFERROR(SUMIFS(PRODUCCION!C:C,PRODUCCION!B:B,A311),0))</f>
        <v/>
      </c>
      <c r="E311" s="8">
        <f>IFERROR(C311*D311,0)</f>
        <v/>
      </c>
      <c r="F311" s="10">
        <f>IF(OR($A311="",$B311=""),"",IFERROR($C311*INDEX(INSUMOS!$K$5:$K$67,MATCH($B311,INSUMOS!$B$5:$B$67,0)),0))</f>
        <v/>
      </c>
    </row>
    <row r="312">
      <c r="A312" s="7" t="n"/>
      <c r="B312" s="7" t="n"/>
      <c r="C312" s="7" t="n"/>
      <c r="D312" s="8">
        <f>IF(A312="","",IFERROR(SUMIFS(PRODUCCION!C:C,PRODUCCION!B:B,A312),0))</f>
        <v/>
      </c>
      <c r="E312" s="8">
        <f>IFERROR(C312*D312,0)</f>
        <v/>
      </c>
      <c r="F312" s="10">
        <f>IF(OR($A312="",$B312=""),"",IFERROR($C312*INDEX(INSUMOS!$K$5:$K$67,MATCH($B312,INSUMOS!$B$5:$B$67,0)),0))</f>
        <v/>
      </c>
    </row>
    <row r="313">
      <c r="A313" s="7" t="n"/>
      <c r="B313" s="7" t="n"/>
      <c r="C313" s="7" t="n"/>
      <c r="D313" s="8">
        <f>IF(A313="","",IFERROR(SUMIFS(PRODUCCION!C:C,PRODUCCION!B:B,A313),0))</f>
        <v/>
      </c>
      <c r="E313" s="8">
        <f>IFERROR(C313*D313,0)</f>
        <v/>
      </c>
      <c r="F313" s="10">
        <f>IF(OR($A313="",$B313=""),"",IFERROR($C313*INDEX(INSUMOS!$K$5:$K$67,MATCH($B313,INSUMOS!$B$5:$B$67,0)),0))</f>
        <v/>
      </c>
    </row>
    <row r="314">
      <c r="A314" s="7" t="n"/>
      <c r="B314" s="7" t="n"/>
      <c r="C314" s="7" t="n"/>
      <c r="D314" s="8">
        <f>IF(A314="","",IFERROR(SUMIFS(PRODUCCION!C:C,PRODUCCION!B:B,A314),0))</f>
        <v/>
      </c>
      <c r="E314" s="8">
        <f>IFERROR(C314*D314,0)</f>
        <v/>
      </c>
      <c r="F314" s="10">
        <f>IF(OR($A314="",$B314=""),"",IFERROR($C314*INDEX(INSUMOS!$K$5:$K$67,MATCH($B314,INSUMOS!$B$5:$B$67,0)),0))</f>
        <v/>
      </c>
    </row>
    <row r="315">
      <c r="A315" s="7" t="n"/>
      <c r="B315" s="7" t="n"/>
      <c r="C315" s="7" t="n"/>
      <c r="D315" s="8">
        <f>IF(A315="","",IFERROR(SUMIFS(PRODUCCION!C:C,PRODUCCION!B:B,A315),0))</f>
        <v/>
      </c>
      <c r="E315" s="8">
        <f>IFERROR(C315*D315,0)</f>
        <v/>
      </c>
      <c r="F315" s="10">
        <f>IF(OR($A315="",$B315=""),"",IFERROR($C315*INDEX(INSUMOS!$K$5:$K$67,MATCH($B315,INSUMOS!$B$5:$B$67,0)),0))</f>
        <v/>
      </c>
    </row>
    <row r="316">
      <c r="A316" s="7" t="n"/>
      <c r="B316" s="7" t="n"/>
      <c r="C316" s="7" t="n"/>
      <c r="D316" s="8">
        <f>IF(A316="","",IFERROR(SUMIFS(PRODUCCION!C:C,PRODUCCION!B:B,A316),0))</f>
        <v/>
      </c>
      <c r="E316" s="8">
        <f>IFERROR(C316*D316,0)</f>
        <v/>
      </c>
      <c r="F316" s="10">
        <f>IF(OR($A316="",$B316=""),"",IFERROR($C316*INDEX(INSUMOS!$K$5:$K$67,MATCH($B316,INSUMOS!$B$5:$B$67,0)),0))</f>
        <v/>
      </c>
    </row>
    <row r="317">
      <c r="A317" s="7" t="n"/>
      <c r="B317" s="7" t="n"/>
      <c r="C317" s="7" t="n"/>
      <c r="D317" s="8">
        <f>IF(A317="","",IFERROR(SUMIFS(PRODUCCION!C:C,PRODUCCION!B:B,A317),0))</f>
        <v/>
      </c>
      <c r="E317" s="8">
        <f>IFERROR(C317*D317,0)</f>
        <v/>
      </c>
      <c r="F317" s="10">
        <f>IF(OR($A317="",$B317=""),"",IFERROR($C317*INDEX(INSUMOS!$K$5:$K$67,MATCH($B317,INSUMOS!$B$5:$B$67,0)),0))</f>
        <v/>
      </c>
    </row>
    <row r="318">
      <c r="A318" s="7" t="n"/>
      <c r="B318" s="7" t="n"/>
      <c r="C318" s="7" t="n"/>
      <c r="D318" s="8">
        <f>IF(A318="","",IFERROR(SUMIFS(PRODUCCION!C:C,PRODUCCION!B:B,A318),0))</f>
        <v/>
      </c>
      <c r="E318" s="8">
        <f>IFERROR(C318*D318,0)</f>
        <v/>
      </c>
      <c r="F318" s="10">
        <f>IF(OR($A318="",$B318=""),"",IFERROR($C318*INDEX(INSUMOS!$K$5:$K$67,MATCH($B318,INSUMOS!$B$5:$B$67,0)),0))</f>
        <v/>
      </c>
    </row>
    <row r="319">
      <c r="A319" s="7" t="n"/>
      <c r="B319" s="7" t="n"/>
      <c r="C319" s="7" t="n"/>
      <c r="D319" s="8">
        <f>IF(A319="","",IFERROR(SUMIFS(PRODUCCION!C:C,PRODUCCION!B:B,A319),0))</f>
        <v/>
      </c>
      <c r="E319" s="8">
        <f>IFERROR(C319*D319,0)</f>
        <v/>
      </c>
      <c r="F319" s="10">
        <f>IF(OR($A319="",$B319=""),"",IFERROR($C319*INDEX(INSUMOS!$K$5:$K$67,MATCH($B319,INSUMOS!$B$5:$B$67,0)),0))</f>
        <v/>
      </c>
    </row>
    <row r="320">
      <c r="A320" s="7" t="n"/>
      <c r="B320" s="7" t="n"/>
      <c r="C320" s="7" t="n"/>
      <c r="D320" s="8">
        <f>IF(A320="","",IFERROR(SUMIFS(PRODUCCION!C:C,PRODUCCION!B:B,A320),0))</f>
        <v/>
      </c>
      <c r="E320" s="8">
        <f>IFERROR(C320*D320,0)</f>
        <v/>
      </c>
      <c r="F320" s="10">
        <f>IF(OR($A320="",$B320=""),"",IFERROR($C320*INDEX(INSUMOS!$K$5:$K$67,MATCH($B320,INSUMOS!$B$5:$B$67,0)),0))</f>
        <v/>
      </c>
    </row>
    <row r="321">
      <c r="A321" s="7" t="n"/>
      <c r="B321" s="7" t="n"/>
      <c r="C321" s="7" t="n"/>
      <c r="D321" s="8">
        <f>IF(A321="","",IFERROR(SUMIFS(PRODUCCION!C:C,PRODUCCION!B:B,A321),0))</f>
        <v/>
      </c>
      <c r="E321" s="8">
        <f>IFERROR(C321*D321,0)</f>
        <v/>
      </c>
      <c r="F321" s="10">
        <f>IF(OR($A321="",$B321=""),"",IFERROR($C321*INDEX(INSUMOS!$K$5:$K$67,MATCH($B321,INSUMOS!$B$5:$B$67,0)),0))</f>
        <v/>
      </c>
    </row>
    <row r="322">
      <c r="A322" s="7" t="n"/>
      <c r="B322" s="7" t="n"/>
      <c r="C322" s="7" t="n"/>
      <c r="D322" s="8">
        <f>IF(A322="","",IFERROR(SUMIFS(PRODUCCION!C:C,PRODUCCION!B:B,A322),0))</f>
        <v/>
      </c>
      <c r="E322" s="8">
        <f>IFERROR(C322*D322,0)</f>
        <v/>
      </c>
      <c r="F322" s="10">
        <f>IF(OR($A322="",$B322=""),"",IFERROR($C322*INDEX(INSUMOS!$K$5:$K$67,MATCH($B322,INSUMOS!$B$5:$B$67,0)),0))</f>
        <v/>
      </c>
    </row>
    <row r="323">
      <c r="A323" s="7" t="n"/>
      <c r="B323" s="7" t="n"/>
      <c r="C323" s="7" t="n"/>
      <c r="D323" s="8">
        <f>IF(A323="","",IFERROR(SUMIFS(PRODUCCION!C:C,PRODUCCION!B:B,A323),0))</f>
        <v/>
      </c>
      <c r="E323" s="8">
        <f>IFERROR(C323*D323,0)</f>
        <v/>
      </c>
      <c r="F323" s="10">
        <f>IF(OR($A323="",$B323=""),"",IFERROR($C323*INDEX(INSUMOS!$K$5:$K$67,MATCH($B323,INSUMOS!$B$5:$B$67,0)),0))</f>
        <v/>
      </c>
    </row>
    <row r="324">
      <c r="A324" s="7" t="n"/>
      <c r="B324" s="7" t="n"/>
      <c r="C324" s="7" t="n"/>
      <c r="D324" s="8">
        <f>IF(A324="","",IFERROR(SUMIFS(PRODUCCION!C:C,PRODUCCION!B:B,A324),0))</f>
        <v/>
      </c>
      <c r="E324" s="8">
        <f>IFERROR(C324*D324,0)</f>
        <v/>
      </c>
      <c r="F324" s="10">
        <f>IF(OR($A324="",$B324=""),"",IFERROR($C324*INDEX(INSUMOS!$K$5:$K$67,MATCH($B324,INSUMOS!$B$5:$B$67,0)),0))</f>
        <v/>
      </c>
    </row>
    <row r="325">
      <c r="A325" s="7" t="n"/>
      <c r="B325" s="7" t="n"/>
      <c r="C325" s="7" t="n"/>
      <c r="D325" s="8">
        <f>IF(A325="","",IFERROR(SUMIFS(PRODUCCION!C:C,PRODUCCION!B:B,A325),0))</f>
        <v/>
      </c>
      <c r="E325" s="8">
        <f>IFERROR(C325*D325,0)</f>
        <v/>
      </c>
      <c r="F325" s="10">
        <f>IF(OR($A325="",$B325=""),"",IFERROR($C325*INDEX(INSUMOS!$K$5:$K$67,MATCH($B325,INSUMOS!$B$5:$B$67,0)),0))</f>
        <v/>
      </c>
    </row>
    <row r="326">
      <c r="A326" s="7" t="n"/>
      <c r="B326" s="7" t="n"/>
      <c r="C326" s="7" t="n"/>
      <c r="D326" s="8">
        <f>IF(A326="","",IFERROR(SUMIFS(PRODUCCION!C:C,PRODUCCION!B:B,A326),0))</f>
        <v/>
      </c>
      <c r="E326" s="8">
        <f>IFERROR(C326*D326,0)</f>
        <v/>
      </c>
      <c r="F326" s="10">
        <f>IF(OR($A326="",$B326=""),"",IFERROR($C326*INDEX(INSUMOS!$K$5:$K$67,MATCH($B326,INSUMOS!$B$5:$B$67,0)),0))</f>
        <v/>
      </c>
    </row>
    <row r="327">
      <c r="A327" s="7" t="n"/>
      <c r="B327" s="7" t="n"/>
      <c r="C327" s="7" t="n"/>
      <c r="D327" s="8">
        <f>IF(A327="","",IFERROR(SUMIFS(PRODUCCION!C:C,PRODUCCION!B:B,A327),0))</f>
        <v/>
      </c>
      <c r="E327" s="8">
        <f>IFERROR(C327*D327,0)</f>
        <v/>
      </c>
      <c r="F327" s="10">
        <f>IF(OR($A327="",$B327=""),"",IFERROR($C327*INDEX(INSUMOS!$K$5:$K$67,MATCH($B327,INSUMOS!$B$5:$B$67,0)),0))</f>
        <v/>
      </c>
    </row>
    <row r="328">
      <c r="A328" s="7" t="n"/>
      <c r="B328" s="7" t="n"/>
      <c r="C328" s="7" t="n"/>
      <c r="D328" s="8">
        <f>IF(A328="","",IFERROR(SUMIFS(PRODUCCION!C:C,PRODUCCION!B:B,A328),0))</f>
        <v/>
      </c>
      <c r="E328" s="8">
        <f>IFERROR(C328*D328,0)</f>
        <v/>
      </c>
      <c r="F328" s="10">
        <f>IF(OR($A328="",$B328=""),"",IFERROR($C328*INDEX(INSUMOS!$K$5:$K$67,MATCH($B328,INSUMOS!$B$5:$B$67,0)),0))</f>
        <v/>
      </c>
    </row>
    <row r="329">
      <c r="A329" s="7" t="n"/>
      <c r="B329" s="7" t="n"/>
      <c r="C329" s="7" t="n"/>
      <c r="D329" s="8">
        <f>IF(A329="","",IFERROR(SUMIFS(PRODUCCION!C:C,PRODUCCION!B:B,A329),0))</f>
        <v/>
      </c>
      <c r="E329" s="8">
        <f>IFERROR(C329*D329,0)</f>
        <v/>
      </c>
      <c r="F329" s="10">
        <f>IF(OR($A329="",$B329=""),"",IFERROR($C329*INDEX(INSUMOS!$K$5:$K$67,MATCH($B329,INSUMOS!$B$5:$B$67,0)),0))</f>
        <v/>
      </c>
    </row>
    <row r="330">
      <c r="A330" s="7" t="n"/>
      <c r="B330" s="7" t="n"/>
      <c r="C330" s="7" t="n"/>
      <c r="D330" s="8">
        <f>IF(A330="","",IFERROR(SUMIFS(PRODUCCION!C:C,PRODUCCION!B:B,A330),0))</f>
        <v/>
      </c>
      <c r="E330" s="8">
        <f>IFERROR(C330*D330,0)</f>
        <v/>
      </c>
      <c r="F330" s="10">
        <f>IF(OR($A330="",$B330=""),"",IFERROR($C330*INDEX(INSUMOS!$K$5:$K$67,MATCH($B330,INSUMOS!$B$5:$B$67,0)),0))</f>
        <v/>
      </c>
    </row>
    <row r="331">
      <c r="A331" s="7" t="n"/>
      <c r="B331" s="7" t="n"/>
      <c r="C331" s="7" t="n"/>
      <c r="D331" s="8">
        <f>IF(A331="","",IFERROR(SUMIFS(PRODUCCION!C:C,PRODUCCION!B:B,A331),0))</f>
        <v/>
      </c>
      <c r="E331" s="8">
        <f>IFERROR(C331*D331,0)</f>
        <v/>
      </c>
      <c r="F331" s="10">
        <f>IF(OR($A331="",$B331=""),"",IFERROR($C331*INDEX(INSUMOS!$K$5:$K$67,MATCH($B331,INSUMOS!$B$5:$B$67,0)),0))</f>
        <v/>
      </c>
    </row>
    <row r="332">
      <c r="A332" s="7" t="n"/>
      <c r="B332" s="7" t="n"/>
      <c r="C332" s="7" t="n"/>
      <c r="D332" s="8">
        <f>IF(A332="","",IFERROR(SUMIFS(PRODUCCION!C:C,PRODUCCION!B:B,A332),0))</f>
        <v/>
      </c>
      <c r="E332" s="8">
        <f>IFERROR(C332*D332,0)</f>
        <v/>
      </c>
      <c r="F332" s="10">
        <f>IF(OR($A332="",$B332=""),"",IFERROR($C332*INDEX(INSUMOS!$K$5:$K$67,MATCH($B332,INSUMOS!$B$5:$B$67,0)),0))</f>
        <v/>
      </c>
    </row>
    <row r="333">
      <c r="A333" s="7" t="n"/>
      <c r="B333" s="7" t="n"/>
      <c r="C333" s="7" t="n"/>
      <c r="D333" s="8">
        <f>IF(A333="","",IFERROR(SUMIFS(PRODUCCION!C:C,PRODUCCION!B:B,A333),0))</f>
        <v/>
      </c>
      <c r="E333" s="8">
        <f>IFERROR(C333*D333,0)</f>
        <v/>
      </c>
      <c r="F333" s="10">
        <f>IF(OR($A333="",$B333=""),"",IFERROR($C333*INDEX(INSUMOS!$K$5:$K$67,MATCH($B333,INSUMOS!$B$5:$B$67,0)),0))</f>
        <v/>
      </c>
    </row>
    <row r="334">
      <c r="A334" s="7" t="n"/>
      <c r="B334" s="7" t="n"/>
      <c r="C334" s="7" t="n"/>
      <c r="D334" s="8">
        <f>IF(A334="","",IFERROR(SUMIFS(PRODUCCION!C:C,PRODUCCION!B:B,A334),0))</f>
        <v/>
      </c>
      <c r="E334" s="8">
        <f>IFERROR(C334*D334,0)</f>
        <v/>
      </c>
      <c r="F334" s="10">
        <f>IF(OR($A334="",$B334=""),"",IFERROR($C334*INDEX(INSUMOS!$K$5:$K$67,MATCH($B334,INSUMOS!$B$5:$B$67,0)),0))</f>
        <v/>
      </c>
    </row>
    <row r="335">
      <c r="A335" s="7" t="n"/>
      <c r="B335" s="7" t="n"/>
      <c r="C335" s="7" t="n"/>
      <c r="D335" s="8">
        <f>IF(A335="","",IFERROR(SUMIFS(PRODUCCION!C:C,PRODUCCION!B:B,A335),0))</f>
        <v/>
      </c>
      <c r="E335" s="8">
        <f>IFERROR(C335*D335,0)</f>
        <v/>
      </c>
      <c r="F335" s="10">
        <f>IF(OR($A335="",$B335=""),"",IFERROR($C335*INDEX(INSUMOS!$K$5:$K$67,MATCH($B335,INSUMOS!$B$5:$B$67,0)),0))</f>
        <v/>
      </c>
    </row>
    <row r="336">
      <c r="A336" s="7" t="n"/>
      <c r="B336" s="7" t="n"/>
      <c r="C336" s="7" t="n"/>
      <c r="D336" s="8">
        <f>IF(A336="","",IFERROR(SUMIFS(PRODUCCION!C:C,PRODUCCION!B:B,A336),0))</f>
        <v/>
      </c>
      <c r="E336" s="8">
        <f>IFERROR(C336*D336,0)</f>
        <v/>
      </c>
      <c r="F336" s="10">
        <f>IF(OR($A336="",$B336=""),"",IFERROR($C336*INDEX(INSUMOS!$K$5:$K$67,MATCH($B336,INSUMOS!$B$5:$B$67,0)),0))</f>
        <v/>
      </c>
    </row>
    <row r="337">
      <c r="A337" s="7" t="n"/>
      <c r="B337" s="7" t="n"/>
      <c r="C337" s="7" t="n"/>
      <c r="D337" s="8">
        <f>IF(A337="","",IFERROR(SUMIFS(PRODUCCION!C:C,PRODUCCION!B:B,A337),0))</f>
        <v/>
      </c>
      <c r="E337" s="8">
        <f>IFERROR(C337*D337,0)</f>
        <v/>
      </c>
      <c r="F337" s="10">
        <f>IF(OR($A337="",$B337=""),"",IFERROR($C337*INDEX(INSUMOS!$K$5:$K$67,MATCH($B337,INSUMOS!$B$5:$B$67,0)),0))</f>
        <v/>
      </c>
    </row>
    <row r="338">
      <c r="A338" s="7" t="n"/>
      <c r="B338" s="7" t="n"/>
      <c r="C338" s="7" t="n"/>
      <c r="D338" s="8">
        <f>IF(A338="","",IFERROR(SUMIFS(PRODUCCION!C:C,PRODUCCION!B:B,A338),0))</f>
        <v/>
      </c>
      <c r="E338" s="8">
        <f>IFERROR(C338*D338,0)</f>
        <v/>
      </c>
      <c r="F338" s="10">
        <f>IF(OR($A338="",$B338=""),"",IFERROR($C338*INDEX(INSUMOS!$K$5:$K$67,MATCH($B338,INSUMOS!$B$5:$B$67,0)),0))</f>
        <v/>
      </c>
    </row>
    <row r="339">
      <c r="A339" s="7" t="n"/>
      <c r="B339" s="7" t="n"/>
      <c r="C339" s="7" t="n"/>
      <c r="D339" s="8">
        <f>IF(A339="","",IFERROR(SUMIFS(PRODUCCION!C:C,PRODUCCION!B:B,A339),0))</f>
        <v/>
      </c>
      <c r="E339" s="8">
        <f>IFERROR(C339*D339,0)</f>
        <v/>
      </c>
      <c r="F339" s="10">
        <f>IF(OR($A339="",$B339=""),"",IFERROR($C339*INDEX(INSUMOS!$K$5:$K$67,MATCH($B339,INSUMOS!$B$5:$B$67,0)),0))</f>
        <v/>
      </c>
    </row>
    <row r="340">
      <c r="A340" s="7" t="n"/>
      <c r="B340" s="7" t="n"/>
      <c r="C340" s="7" t="n"/>
      <c r="D340" s="8">
        <f>IF(A340="","",IFERROR(SUMIFS(PRODUCCION!C:C,PRODUCCION!B:B,A340),0))</f>
        <v/>
      </c>
      <c r="E340" s="8">
        <f>IFERROR(C340*D340,0)</f>
        <v/>
      </c>
      <c r="F340" s="10">
        <f>IF(OR($A340="",$B340=""),"",IFERROR($C340*INDEX(INSUMOS!$K$5:$K$67,MATCH($B340,INSUMOS!$B$5:$B$67,0)),0))</f>
        <v/>
      </c>
    </row>
    <row r="341">
      <c r="A341" s="7" t="n"/>
      <c r="B341" s="7" t="n"/>
      <c r="C341" s="7" t="n"/>
      <c r="D341" s="8">
        <f>IF(A341="","",IFERROR(SUMIFS(PRODUCCION!C:C,PRODUCCION!B:B,A341),0))</f>
        <v/>
      </c>
      <c r="E341" s="8">
        <f>IFERROR(C341*D341,0)</f>
        <v/>
      </c>
      <c r="F341" s="10">
        <f>IF(OR($A341="",$B341=""),"",IFERROR($C341*INDEX(INSUMOS!$K$5:$K$67,MATCH($B341,INSUMOS!$B$5:$B$67,0)),0))</f>
        <v/>
      </c>
    </row>
    <row r="342">
      <c r="A342" s="7" t="n"/>
      <c r="B342" s="7" t="n"/>
      <c r="C342" s="7" t="n"/>
      <c r="D342" s="8">
        <f>IF(A342="","",IFERROR(SUMIFS(PRODUCCION!C:C,PRODUCCION!B:B,A342),0))</f>
        <v/>
      </c>
      <c r="E342" s="8">
        <f>IFERROR(C342*D342,0)</f>
        <v/>
      </c>
      <c r="F342" s="10">
        <f>IF(OR($A342="",$B342=""),"",IFERROR($C342*INDEX(INSUMOS!$K$5:$K$67,MATCH($B342,INSUMOS!$B$5:$B$67,0)),0))</f>
        <v/>
      </c>
    </row>
    <row r="343">
      <c r="A343" s="7" t="n"/>
      <c r="B343" s="7" t="n"/>
      <c r="C343" s="7" t="n"/>
      <c r="D343" s="8">
        <f>IF(A343="","",IFERROR(SUMIFS(PRODUCCION!C:C,PRODUCCION!B:B,A343),0))</f>
        <v/>
      </c>
      <c r="E343" s="8">
        <f>IFERROR(C343*D343,0)</f>
        <v/>
      </c>
      <c r="F343" s="10">
        <f>IF(OR($A343="",$B343=""),"",IFERROR($C343*INDEX(INSUMOS!$K$5:$K$67,MATCH($B343,INSUMOS!$B$5:$B$67,0)),0))</f>
        <v/>
      </c>
    </row>
    <row r="344">
      <c r="A344" s="7" t="n"/>
      <c r="B344" s="7" t="n"/>
      <c r="C344" s="7" t="n"/>
      <c r="D344" s="8">
        <f>IF(A344="","",IFERROR(SUMIFS(PRODUCCION!C:C,PRODUCCION!B:B,A344),0))</f>
        <v/>
      </c>
      <c r="E344" s="8">
        <f>IFERROR(C344*D344,0)</f>
        <v/>
      </c>
      <c r="F344" s="10">
        <f>IF(OR($A344="",$B344=""),"",IFERROR($C344*INDEX(INSUMOS!$K$5:$K$67,MATCH($B344,INSUMOS!$B$5:$B$67,0)),0))</f>
        <v/>
      </c>
    </row>
    <row r="345">
      <c r="A345" s="7" t="n"/>
      <c r="B345" s="7" t="n"/>
      <c r="C345" s="7" t="n"/>
      <c r="D345" s="8">
        <f>IF(A345="","",IFERROR(SUMIFS(PRODUCCION!C:C,PRODUCCION!B:B,A345),0))</f>
        <v/>
      </c>
      <c r="E345" s="8">
        <f>IFERROR(C345*D345,0)</f>
        <v/>
      </c>
      <c r="F345" s="10">
        <f>IF(OR($A345="",$B345=""),"",IFERROR($C345*INDEX(INSUMOS!$K$5:$K$67,MATCH($B345,INSUMOS!$B$5:$B$67,0)),0))</f>
        <v/>
      </c>
    </row>
    <row r="346">
      <c r="A346" s="7" t="n"/>
      <c r="B346" s="7" t="n"/>
      <c r="C346" s="7" t="n"/>
      <c r="D346" s="8">
        <f>IF(A346="","",IFERROR(SUMIFS(PRODUCCION!C:C,PRODUCCION!B:B,A346),0))</f>
        <v/>
      </c>
      <c r="E346" s="8">
        <f>IFERROR(C346*D346,0)</f>
        <v/>
      </c>
      <c r="F346" s="10">
        <f>IF(OR($A346="",$B346=""),"",IFERROR($C346*INDEX(INSUMOS!$K$5:$K$67,MATCH($B346,INSUMOS!$B$5:$B$67,0)),0))</f>
        <v/>
      </c>
    </row>
    <row r="347">
      <c r="A347" s="7" t="n"/>
      <c r="B347" s="7" t="n"/>
      <c r="C347" s="7" t="n"/>
      <c r="D347" s="8">
        <f>IF(A347="","",IFERROR(SUMIFS(PRODUCCION!C:C,PRODUCCION!B:B,A347),0))</f>
        <v/>
      </c>
      <c r="E347" s="8">
        <f>IFERROR(C347*D347,0)</f>
        <v/>
      </c>
      <c r="F347" s="10">
        <f>IF(OR($A347="",$B347=""),"",IFERROR($C347*INDEX(INSUMOS!$K$5:$K$67,MATCH($B347,INSUMOS!$B$5:$B$67,0)),0))</f>
        <v/>
      </c>
    </row>
    <row r="348">
      <c r="A348" s="7" t="n"/>
      <c r="B348" s="7" t="n"/>
      <c r="C348" s="7" t="n"/>
      <c r="D348" s="8">
        <f>IF(A348="","",IFERROR(SUMIFS(PRODUCCION!C:C,PRODUCCION!B:B,A348),0))</f>
        <v/>
      </c>
      <c r="E348" s="8">
        <f>IFERROR(C348*D348,0)</f>
        <v/>
      </c>
      <c r="F348" s="10">
        <f>IF(OR($A348="",$B348=""),"",IFERROR($C348*INDEX(INSUMOS!$K$5:$K$67,MATCH($B348,INSUMOS!$B$5:$B$67,0)),0))</f>
        <v/>
      </c>
    </row>
    <row r="349">
      <c r="A349" s="7" t="n"/>
      <c r="B349" s="7" t="n"/>
      <c r="C349" s="7" t="n"/>
      <c r="D349" s="8">
        <f>IF(A349="","",IFERROR(SUMIFS(PRODUCCION!C:C,PRODUCCION!B:B,A349),0))</f>
        <v/>
      </c>
      <c r="E349" s="8">
        <f>IFERROR(C349*D349,0)</f>
        <v/>
      </c>
      <c r="F349" s="10">
        <f>IF(OR($A349="",$B349=""),"",IFERROR($C349*INDEX(INSUMOS!$K$5:$K$67,MATCH($B349,INSUMOS!$B$5:$B$67,0)),0))</f>
        <v/>
      </c>
    </row>
    <row r="350">
      <c r="A350" s="7" t="n"/>
      <c r="B350" s="7" t="n"/>
      <c r="C350" s="7" t="n"/>
      <c r="D350" s="8">
        <f>IF(A350="","",IFERROR(SUMIFS(PRODUCCION!C:C,PRODUCCION!B:B,A350),0))</f>
        <v/>
      </c>
      <c r="E350" s="8">
        <f>IFERROR(C350*D350,0)</f>
        <v/>
      </c>
      <c r="F350" s="10">
        <f>IF(OR($A350="",$B350=""),"",IFERROR($C350*INDEX(INSUMOS!$K$5:$K$67,MATCH($B350,INSUMOS!$B$5:$B$67,0)),0))</f>
        <v/>
      </c>
    </row>
    <row r="351">
      <c r="A351" s="7" t="n"/>
      <c r="B351" s="7" t="n"/>
      <c r="C351" s="7" t="n"/>
      <c r="D351" s="8">
        <f>IF(A351="","",IFERROR(SUMIFS(PRODUCCION!C:C,PRODUCCION!B:B,A351),0))</f>
        <v/>
      </c>
      <c r="E351" s="8">
        <f>IFERROR(C351*D351,0)</f>
        <v/>
      </c>
      <c r="F351" s="10">
        <f>IF(OR($A351="",$B351=""),"",IFERROR($C351*INDEX(INSUMOS!$K$5:$K$67,MATCH($B351,INSUMOS!$B$5:$B$67,0)),0))</f>
        <v/>
      </c>
    </row>
    <row r="352">
      <c r="A352" s="7" t="n"/>
      <c r="B352" s="7" t="n"/>
      <c r="C352" s="7" t="n"/>
      <c r="D352" s="8">
        <f>IF(A352="","",IFERROR(SUMIFS(PRODUCCION!C:C,PRODUCCION!B:B,A352),0))</f>
        <v/>
      </c>
      <c r="E352" s="8">
        <f>IFERROR(C352*D352,0)</f>
        <v/>
      </c>
      <c r="F352" s="10">
        <f>IF(OR($A352="",$B352=""),"",IFERROR($C352*INDEX(INSUMOS!$K$5:$K$67,MATCH($B352,INSUMOS!$B$5:$B$67,0)),0))</f>
        <v/>
      </c>
    </row>
    <row r="353">
      <c r="A353" s="7" t="n"/>
      <c r="B353" s="7" t="n"/>
      <c r="C353" s="7" t="n"/>
      <c r="D353" s="8">
        <f>IF(A353="","",IFERROR(SUMIFS(PRODUCCION!C:C,PRODUCCION!B:B,A353),0))</f>
        <v/>
      </c>
      <c r="E353" s="8">
        <f>IFERROR(C353*D353,0)</f>
        <v/>
      </c>
      <c r="F353" s="10">
        <f>IF(OR($A353="",$B353=""),"",IFERROR($C353*INDEX(INSUMOS!$K$5:$K$67,MATCH($B353,INSUMOS!$B$5:$B$67,0)),0))</f>
        <v/>
      </c>
    </row>
    <row r="354">
      <c r="A354" s="7" t="n"/>
      <c r="B354" s="7" t="n"/>
      <c r="C354" s="7" t="n"/>
      <c r="D354" s="8">
        <f>IF(A354="","",IFERROR(SUMIFS(PRODUCCION!C:C,PRODUCCION!B:B,A354),0))</f>
        <v/>
      </c>
      <c r="E354" s="8">
        <f>IFERROR(C354*D354,0)</f>
        <v/>
      </c>
      <c r="F354" s="10">
        <f>IF(OR($A354="",$B354=""),"",IFERROR($C354*INDEX(INSUMOS!$K$5:$K$67,MATCH($B354,INSUMOS!$B$5:$B$67,0)),0))</f>
        <v/>
      </c>
    </row>
    <row r="355">
      <c r="A355" s="7" t="n"/>
      <c r="B355" s="7" t="n"/>
      <c r="C355" s="7" t="n"/>
      <c r="D355" s="8">
        <f>IF(A355="","",IFERROR(SUMIFS(PRODUCCION!C:C,PRODUCCION!B:B,A355),0))</f>
        <v/>
      </c>
      <c r="E355" s="8">
        <f>IFERROR(C355*D355,0)</f>
        <v/>
      </c>
      <c r="F355" s="10">
        <f>IF(OR($A355="",$B355=""),"",IFERROR($C355*INDEX(INSUMOS!$K$5:$K$67,MATCH($B355,INSUMOS!$B$5:$B$67,0)),0))</f>
        <v/>
      </c>
    </row>
    <row r="356">
      <c r="A356" s="7" t="n"/>
      <c r="B356" s="7" t="n"/>
      <c r="C356" s="7" t="n"/>
      <c r="D356" s="8">
        <f>IF(A356="","",IFERROR(SUMIFS(PRODUCCION!C:C,PRODUCCION!B:B,A356),0))</f>
        <v/>
      </c>
      <c r="E356" s="8">
        <f>IFERROR(C356*D356,0)</f>
        <v/>
      </c>
      <c r="F356" s="10">
        <f>IF(OR($A356="",$B356=""),"",IFERROR($C356*INDEX(INSUMOS!$K$5:$K$67,MATCH($B356,INSUMOS!$B$5:$B$67,0)),0))</f>
        <v/>
      </c>
    </row>
    <row r="357">
      <c r="A357" s="7" t="n"/>
      <c r="B357" s="7" t="n"/>
      <c r="C357" s="7" t="n"/>
      <c r="D357" s="8">
        <f>IF(A357="","",IFERROR(SUMIFS(PRODUCCION!C:C,PRODUCCION!B:B,A357),0))</f>
        <v/>
      </c>
      <c r="E357" s="8">
        <f>IFERROR(C357*D357,0)</f>
        <v/>
      </c>
      <c r="F357" s="10">
        <f>IF(OR($A357="",$B357=""),"",IFERROR($C357*INDEX(INSUMOS!$K$5:$K$67,MATCH($B357,INSUMOS!$B$5:$B$67,0)),0))</f>
        <v/>
      </c>
    </row>
    <row r="358">
      <c r="A358" s="7" t="n"/>
      <c r="B358" s="7" t="n"/>
      <c r="C358" s="7" t="n"/>
      <c r="D358" s="8">
        <f>IF(A358="","",IFERROR(SUMIFS(PRODUCCION!C:C,PRODUCCION!B:B,A358),0))</f>
        <v/>
      </c>
      <c r="E358" s="8">
        <f>IFERROR(C358*D358,0)</f>
        <v/>
      </c>
      <c r="F358" s="10">
        <f>IF(OR($A358="",$B358=""),"",IFERROR($C358*INDEX(INSUMOS!$K$5:$K$67,MATCH($B358,INSUMOS!$B$5:$B$67,0)),0))</f>
        <v/>
      </c>
    </row>
    <row r="359">
      <c r="A359" s="7" t="n"/>
      <c r="B359" s="7" t="n"/>
      <c r="C359" s="7" t="n"/>
      <c r="D359" s="8">
        <f>IF(A359="","",IFERROR(SUMIFS(PRODUCCION!C:C,PRODUCCION!B:B,A359),0))</f>
        <v/>
      </c>
      <c r="E359" s="8">
        <f>IFERROR(C359*D359,0)</f>
        <v/>
      </c>
      <c r="F359" s="10">
        <f>IF(OR($A359="",$B359=""),"",IFERROR($C359*INDEX(INSUMOS!$K$5:$K$67,MATCH($B359,INSUMOS!$B$5:$B$67,0)),0))</f>
        <v/>
      </c>
    </row>
    <row r="360">
      <c r="A360" s="7" t="n"/>
      <c r="B360" s="7" t="n"/>
      <c r="C360" s="7" t="n"/>
      <c r="D360" s="8">
        <f>IF(A360="","",IFERROR(SUMIFS(PRODUCCION!C:C,PRODUCCION!B:B,A360),0))</f>
        <v/>
      </c>
      <c r="E360" s="8">
        <f>IFERROR(C360*D360,0)</f>
        <v/>
      </c>
      <c r="F360" s="10">
        <f>IF(OR($A360="",$B360=""),"",IFERROR($C360*INDEX(INSUMOS!$K$5:$K$67,MATCH($B360,INSUMOS!$B$5:$B$67,0)),0))</f>
        <v/>
      </c>
    </row>
    <row r="361">
      <c r="A361" s="7" t="n"/>
      <c r="B361" s="7" t="n"/>
      <c r="C361" s="7" t="n"/>
      <c r="D361" s="8">
        <f>IF(A361="","",IFERROR(SUMIFS(PRODUCCION!C:C,PRODUCCION!B:B,A361),0))</f>
        <v/>
      </c>
      <c r="E361" s="8">
        <f>IFERROR(C361*D361,0)</f>
        <v/>
      </c>
      <c r="F361" s="10">
        <f>IF(OR($A361="",$B361=""),"",IFERROR($C361*INDEX(INSUMOS!$K$5:$K$67,MATCH($B361,INSUMOS!$B$5:$B$67,0)),0))</f>
        <v/>
      </c>
    </row>
    <row r="362">
      <c r="A362" s="7" t="n"/>
      <c r="B362" s="7" t="n"/>
      <c r="C362" s="7" t="n"/>
      <c r="D362" s="8">
        <f>IF(A362="","",IFERROR(SUMIFS(PRODUCCION!C:C,PRODUCCION!B:B,A362),0))</f>
        <v/>
      </c>
      <c r="E362" s="8">
        <f>IFERROR(C362*D362,0)</f>
        <v/>
      </c>
      <c r="F362" s="10">
        <f>IF(OR($A362="",$B362=""),"",IFERROR($C362*INDEX(INSUMOS!$K$5:$K$67,MATCH($B362,INSUMOS!$B$5:$B$67,0)),0))</f>
        <v/>
      </c>
    </row>
    <row r="363">
      <c r="A363" s="7" t="n"/>
      <c r="B363" s="7" t="n"/>
      <c r="C363" s="7" t="n"/>
      <c r="D363" s="8">
        <f>IF(A363="","",IFERROR(SUMIFS(PRODUCCION!C:C,PRODUCCION!B:B,A363),0))</f>
        <v/>
      </c>
      <c r="E363" s="8">
        <f>IFERROR(C363*D363,0)</f>
        <v/>
      </c>
      <c r="F363" s="10">
        <f>IF(OR($A363="",$B363=""),"",IFERROR($C363*INDEX(INSUMOS!$K$5:$K$67,MATCH($B363,INSUMOS!$B$5:$B$67,0)),0))</f>
        <v/>
      </c>
    </row>
    <row r="364">
      <c r="A364" s="7" t="n"/>
      <c r="B364" s="7" t="n"/>
      <c r="C364" s="7" t="n"/>
      <c r="D364" s="8">
        <f>IF(A364="","",IFERROR(SUMIFS(PRODUCCION!C:C,PRODUCCION!B:B,A364),0))</f>
        <v/>
      </c>
      <c r="E364" s="8">
        <f>IFERROR(C364*D364,0)</f>
        <v/>
      </c>
      <c r="F364" s="10">
        <f>IF(OR($A364="",$B364=""),"",IFERROR($C364*INDEX(INSUMOS!$K$5:$K$67,MATCH($B364,INSUMOS!$B$5:$B$67,0)),0))</f>
        <v/>
      </c>
    </row>
    <row r="365">
      <c r="A365" s="7" t="n"/>
      <c r="B365" s="7" t="n"/>
      <c r="C365" s="7" t="n"/>
      <c r="D365" s="8">
        <f>IF(A365="","",IFERROR(SUMIFS(PRODUCCION!C:C,PRODUCCION!B:B,A365),0))</f>
        <v/>
      </c>
      <c r="E365" s="8">
        <f>IFERROR(C365*D365,0)</f>
        <v/>
      </c>
      <c r="F365" s="10">
        <f>IF(OR($A365="",$B365=""),"",IFERROR($C365*INDEX(INSUMOS!$K$5:$K$67,MATCH($B365,INSUMOS!$B$5:$B$67,0)),0))</f>
        <v/>
      </c>
    </row>
    <row r="366">
      <c r="A366" s="7" t="n"/>
      <c r="B366" s="7" t="n"/>
      <c r="C366" s="7" t="n"/>
      <c r="D366" s="8">
        <f>IF(A366="","",IFERROR(SUMIFS(PRODUCCION!C:C,PRODUCCION!B:B,A366),0))</f>
        <v/>
      </c>
      <c r="E366" s="8">
        <f>IFERROR(C366*D366,0)</f>
        <v/>
      </c>
      <c r="F366" s="10">
        <f>IF(OR($A366="",$B366=""),"",IFERROR($C366*INDEX(INSUMOS!$K$5:$K$67,MATCH($B366,INSUMOS!$B$5:$B$67,0)),0))</f>
        <v/>
      </c>
    </row>
    <row r="367">
      <c r="A367" s="7" t="n"/>
      <c r="B367" s="7" t="n"/>
      <c r="C367" s="7" t="n"/>
      <c r="D367" s="8">
        <f>IF(A367="","",IFERROR(SUMIFS(PRODUCCION!C:C,PRODUCCION!B:B,A367),0))</f>
        <v/>
      </c>
      <c r="E367" s="8">
        <f>IFERROR(C367*D367,0)</f>
        <v/>
      </c>
      <c r="F367" s="10">
        <f>IF(OR($A367="",$B367=""),"",IFERROR($C367*INDEX(INSUMOS!$K$5:$K$67,MATCH($B367,INSUMOS!$B$5:$B$67,0)),0))</f>
        <v/>
      </c>
    </row>
    <row r="368">
      <c r="A368" s="7" t="n"/>
      <c r="B368" s="7" t="n"/>
      <c r="C368" s="7" t="n"/>
      <c r="D368" s="8">
        <f>IF(A368="","",IFERROR(SUMIFS(PRODUCCION!C:C,PRODUCCION!B:B,A368),0))</f>
        <v/>
      </c>
      <c r="E368" s="8">
        <f>IFERROR(C368*D368,0)</f>
        <v/>
      </c>
      <c r="F368" s="10">
        <f>IF(OR($A368="",$B368=""),"",IFERROR($C368*INDEX(INSUMOS!$K$5:$K$67,MATCH($B368,INSUMOS!$B$5:$B$67,0)),0))</f>
        <v/>
      </c>
    </row>
    <row r="369">
      <c r="A369" s="7" t="n"/>
      <c r="B369" s="7" t="n"/>
      <c r="C369" s="7" t="n"/>
      <c r="D369" s="8">
        <f>IF(A369="","",IFERROR(SUMIFS(PRODUCCION!C:C,PRODUCCION!B:B,A369),0))</f>
        <v/>
      </c>
      <c r="E369" s="8">
        <f>IFERROR(C369*D369,0)</f>
        <v/>
      </c>
      <c r="F369" s="10">
        <f>IF(OR($A369="",$B369=""),"",IFERROR($C369*INDEX(INSUMOS!$K$5:$K$67,MATCH($B369,INSUMOS!$B$5:$B$67,0)),0))</f>
        <v/>
      </c>
    </row>
    <row r="370">
      <c r="A370" s="7" t="n"/>
      <c r="B370" s="7" t="n"/>
      <c r="C370" s="7" t="n"/>
      <c r="D370" s="8">
        <f>IF(A370="","",IFERROR(SUMIFS(PRODUCCION!C:C,PRODUCCION!B:B,A370),0))</f>
        <v/>
      </c>
      <c r="E370" s="8">
        <f>IFERROR(C370*D370,0)</f>
        <v/>
      </c>
      <c r="F370" s="10">
        <f>IF(OR($A370="",$B370=""),"",IFERROR($C370*INDEX(INSUMOS!$K$5:$K$67,MATCH($B370,INSUMOS!$B$5:$B$67,0)),0))</f>
        <v/>
      </c>
    </row>
    <row r="371">
      <c r="A371" s="7" t="n"/>
      <c r="B371" s="7" t="n"/>
      <c r="C371" s="7" t="n"/>
      <c r="D371" s="8">
        <f>IF(A371="","",IFERROR(SUMIFS(PRODUCCION!C:C,PRODUCCION!B:B,A371),0))</f>
        <v/>
      </c>
      <c r="E371" s="8">
        <f>IFERROR(C371*D371,0)</f>
        <v/>
      </c>
      <c r="F371" s="10">
        <f>IF(OR($A371="",$B371=""),"",IFERROR($C371*INDEX(INSUMOS!$K$5:$K$67,MATCH($B371,INSUMOS!$B$5:$B$67,0)),0))</f>
        <v/>
      </c>
    </row>
    <row r="372">
      <c r="A372" s="7" t="n"/>
      <c r="B372" s="7" t="n"/>
      <c r="C372" s="7" t="n"/>
      <c r="D372" s="8">
        <f>IF(A372="","",IFERROR(SUMIFS(PRODUCCION!C:C,PRODUCCION!B:B,A372),0))</f>
        <v/>
      </c>
      <c r="E372" s="8">
        <f>IFERROR(C372*D372,0)</f>
        <v/>
      </c>
      <c r="F372" s="10">
        <f>IF(OR($A372="",$B372=""),"",IFERROR($C372*INDEX(INSUMOS!$K$5:$K$67,MATCH($B372,INSUMOS!$B$5:$B$67,0)),0))</f>
        <v/>
      </c>
    </row>
    <row r="373">
      <c r="A373" s="7" t="n"/>
      <c r="B373" s="7" t="n"/>
      <c r="C373" s="7" t="n"/>
      <c r="D373" s="8">
        <f>IF(A373="","",IFERROR(SUMIFS(PRODUCCION!C:C,PRODUCCION!B:B,A373),0))</f>
        <v/>
      </c>
      <c r="E373" s="8">
        <f>IFERROR(C373*D373,0)</f>
        <v/>
      </c>
      <c r="F373" s="10">
        <f>IF(OR($A373="",$B373=""),"",IFERROR($C373*INDEX(INSUMOS!$K$5:$K$67,MATCH($B373,INSUMOS!$B$5:$B$67,0)),0))</f>
        <v/>
      </c>
    </row>
    <row r="374">
      <c r="A374" s="7" t="n"/>
      <c r="B374" s="7" t="n"/>
      <c r="C374" s="7" t="n"/>
      <c r="D374" s="8">
        <f>IF(A374="","",IFERROR(SUMIFS(PRODUCCION!C:C,PRODUCCION!B:B,A374),0))</f>
        <v/>
      </c>
      <c r="E374" s="8">
        <f>IFERROR(C374*D374,0)</f>
        <v/>
      </c>
      <c r="F374" s="10">
        <f>IF(OR($A374="",$B374=""),"",IFERROR($C374*INDEX(INSUMOS!$K$5:$K$67,MATCH($B374,INSUMOS!$B$5:$B$67,0)),0))</f>
        <v/>
      </c>
    </row>
    <row r="375">
      <c r="A375" s="7" t="n"/>
      <c r="B375" s="7" t="n"/>
      <c r="C375" s="7" t="n"/>
      <c r="D375" s="8">
        <f>IF(A375="","",IFERROR(SUMIFS(PRODUCCION!C:C,PRODUCCION!B:B,A375),0))</f>
        <v/>
      </c>
      <c r="E375" s="8">
        <f>IFERROR(C375*D375,0)</f>
        <v/>
      </c>
      <c r="F375" s="10">
        <f>IF(OR($A375="",$B375=""),"",IFERROR($C375*INDEX(INSUMOS!$K$5:$K$67,MATCH($B375,INSUMOS!$B$5:$B$67,0)),0))</f>
        <v/>
      </c>
    </row>
    <row r="376">
      <c r="A376" s="7" t="n"/>
      <c r="B376" s="7" t="n"/>
      <c r="C376" s="7" t="n"/>
      <c r="D376" s="8">
        <f>IF(A376="","",IFERROR(SUMIFS(PRODUCCION!C:C,PRODUCCION!B:B,A376),0))</f>
        <v/>
      </c>
      <c r="E376" s="8">
        <f>IFERROR(C376*D376,0)</f>
        <v/>
      </c>
      <c r="F376" s="10">
        <f>IF(OR($A376="",$B376=""),"",IFERROR($C376*INDEX(INSUMOS!$K$5:$K$67,MATCH($B376,INSUMOS!$B$5:$B$67,0)),0))</f>
        <v/>
      </c>
    </row>
    <row r="377">
      <c r="A377" s="7" t="n"/>
      <c r="B377" s="7" t="n"/>
      <c r="C377" s="7" t="n"/>
      <c r="D377" s="8">
        <f>IF(A377="","",IFERROR(SUMIFS(PRODUCCION!C:C,PRODUCCION!B:B,A377),0))</f>
        <v/>
      </c>
      <c r="E377" s="8">
        <f>IFERROR(C377*D377,0)</f>
        <v/>
      </c>
      <c r="F377" s="10">
        <f>IF(OR($A377="",$B377=""),"",IFERROR($C377*INDEX(INSUMOS!$K$5:$K$67,MATCH($B377,INSUMOS!$B$5:$B$67,0)),0))</f>
        <v/>
      </c>
    </row>
    <row r="378">
      <c r="A378" s="7" t="n"/>
      <c r="B378" s="7" t="n"/>
      <c r="C378" s="7" t="n"/>
      <c r="D378" s="8">
        <f>IF(A378="","",IFERROR(SUMIFS(PRODUCCION!C:C,PRODUCCION!B:B,A378),0))</f>
        <v/>
      </c>
      <c r="E378" s="8">
        <f>IFERROR(C378*D378,0)</f>
        <v/>
      </c>
      <c r="F378" s="10">
        <f>IF(OR($A378="",$B378=""),"",IFERROR($C378*INDEX(INSUMOS!$K$5:$K$67,MATCH($B378,INSUMOS!$B$5:$B$67,0)),0))</f>
        <v/>
      </c>
    </row>
    <row r="379">
      <c r="A379" s="7" t="n"/>
      <c r="B379" s="7" t="n"/>
      <c r="C379" s="7" t="n"/>
      <c r="D379" s="8">
        <f>IF(A379="","",IFERROR(SUMIFS(PRODUCCION!C:C,PRODUCCION!B:B,A379),0))</f>
        <v/>
      </c>
      <c r="E379" s="8">
        <f>IFERROR(C379*D379,0)</f>
        <v/>
      </c>
      <c r="F379" s="10">
        <f>IF(OR($A379="",$B379=""),"",IFERROR($C379*INDEX(INSUMOS!$K$5:$K$67,MATCH($B379,INSUMOS!$B$5:$B$67,0)),0))</f>
        <v/>
      </c>
    </row>
    <row r="380">
      <c r="A380" s="7" t="n"/>
      <c r="B380" s="7" t="n"/>
      <c r="C380" s="7" t="n"/>
      <c r="D380" s="8">
        <f>IF(A380="","",IFERROR(SUMIFS(PRODUCCION!C:C,PRODUCCION!B:B,A380),0))</f>
        <v/>
      </c>
      <c r="E380" s="8">
        <f>IFERROR(C380*D380,0)</f>
        <v/>
      </c>
      <c r="F380" s="10">
        <f>IF(OR($A380="",$B380=""),"",IFERROR($C380*INDEX(INSUMOS!$K$5:$K$67,MATCH($B380,INSUMOS!$B$5:$B$67,0)),0))</f>
        <v/>
      </c>
    </row>
    <row r="381">
      <c r="A381" s="7" t="n"/>
      <c r="B381" s="7" t="n"/>
      <c r="C381" s="7" t="n"/>
      <c r="D381" s="8">
        <f>IF(A381="","",IFERROR(SUMIFS(PRODUCCION!C:C,PRODUCCION!B:B,A381),0))</f>
        <v/>
      </c>
      <c r="E381" s="8">
        <f>IFERROR(C381*D381,0)</f>
        <v/>
      </c>
      <c r="F381" s="10">
        <f>IF(OR($A381="",$B381=""),"",IFERROR($C381*INDEX(INSUMOS!$K$5:$K$67,MATCH($B381,INSUMOS!$B$5:$B$67,0)),0))</f>
        <v/>
      </c>
    </row>
    <row r="382">
      <c r="A382" s="7" t="n"/>
      <c r="B382" s="7" t="n"/>
      <c r="C382" s="7" t="n"/>
      <c r="D382" s="8">
        <f>IF(A382="","",IFERROR(SUMIFS(PRODUCCION!C:C,PRODUCCION!B:B,A382),0))</f>
        <v/>
      </c>
      <c r="E382" s="8">
        <f>IFERROR(C382*D382,0)</f>
        <v/>
      </c>
      <c r="F382" s="10">
        <f>IF(OR($A382="",$B382=""),"",IFERROR($C382*INDEX(INSUMOS!$K$5:$K$67,MATCH($B382,INSUMOS!$B$5:$B$67,0)),0))</f>
        <v/>
      </c>
    </row>
    <row r="383">
      <c r="A383" s="7" t="n"/>
      <c r="B383" s="7" t="n"/>
      <c r="C383" s="7" t="n"/>
      <c r="D383" s="8">
        <f>IF(A383="","",IFERROR(SUMIFS(PRODUCCION!C:C,PRODUCCION!B:B,A383),0))</f>
        <v/>
      </c>
      <c r="E383" s="8">
        <f>IFERROR(C383*D383,0)</f>
        <v/>
      </c>
      <c r="F383" s="10">
        <f>IF(OR($A383="",$B383=""),"",IFERROR($C383*INDEX(INSUMOS!$K$5:$K$67,MATCH($B383,INSUMOS!$B$5:$B$67,0)),0))</f>
        <v/>
      </c>
    </row>
    <row r="384">
      <c r="A384" s="7" t="n"/>
      <c r="B384" s="7" t="n"/>
      <c r="C384" s="7" t="n"/>
      <c r="D384" s="8">
        <f>IF(A384="","",IFERROR(SUMIFS(PRODUCCION!C:C,PRODUCCION!B:B,A384),0))</f>
        <v/>
      </c>
      <c r="E384" s="8">
        <f>IFERROR(C384*D384,0)</f>
        <v/>
      </c>
      <c r="F384" s="10">
        <f>IF(OR($A384="",$B384=""),"",IFERROR($C384*INDEX(INSUMOS!$K$5:$K$67,MATCH($B384,INSUMOS!$B$5:$B$67,0)),0))</f>
        <v/>
      </c>
    </row>
    <row r="385">
      <c r="A385" s="7" t="n"/>
      <c r="B385" s="7" t="n"/>
      <c r="C385" s="7" t="n"/>
      <c r="D385" s="8">
        <f>IF(A385="","",IFERROR(SUMIFS(PRODUCCION!C:C,PRODUCCION!B:B,A385),0))</f>
        <v/>
      </c>
      <c r="E385" s="8">
        <f>IFERROR(C385*D385,0)</f>
        <v/>
      </c>
      <c r="F385" s="10">
        <f>IF(OR($A385="",$B385=""),"",IFERROR($C385*INDEX(INSUMOS!$K$5:$K$67,MATCH($B385,INSUMOS!$B$5:$B$67,0)),0))</f>
        <v/>
      </c>
    </row>
    <row r="386">
      <c r="A386" s="7" t="n"/>
      <c r="B386" s="7" t="n"/>
      <c r="C386" s="7" t="n"/>
      <c r="D386" s="8">
        <f>IF(A386="","",IFERROR(SUMIFS(PRODUCCION!C:C,PRODUCCION!B:B,A386),0))</f>
        <v/>
      </c>
      <c r="E386" s="8">
        <f>IFERROR(C386*D386,0)</f>
        <v/>
      </c>
      <c r="F386" s="10">
        <f>IF(OR($A386="",$B386=""),"",IFERROR($C386*INDEX(INSUMOS!$K$5:$K$67,MATCH($B386,INSUMOS!$B$5:$B$67,0)),0))</f>
        <v/>
      </c>
    </row>
    <row r="387">
      <c r="A387" s="7" t="n"/>
      <c r="B387" s="7" t="n"/>
      <c r="C387" s="7" t="n"/>
      <c r="D387" s="8">
        <f>IF(A387="","",IFERROR(SUMIFS(PRODUCCION!C:C,PRODUCCION!B:B,A387),0))</f>
        <v/>
      </c>
      <c r="E387" s="8">
        <f>IFERROR(C387*D387,0)</f>
        <v/>
      </c>
      <c r="F387" s="10">
        <f>IF(OR($A387="",$B387=""),"",IFERROR($C387*INDEX(INSUMOS!$K$5:$K$67,MATCH($B387,INSUMOS!$B$5:$B$67,0)),0))</f>
        <v/>
      </c>
    </row>
    <row r="388">
      <c r="A388" s="7" t="n"/>
      <c r="B388" s="7" t="n"/>
      <c r="C388" s="7" t="n"/>
      <c r="D388" s="8">
        <f>IF(A388="","",IFERROR(SUMIFS(PRODUCCION!C:C,PRODUCCION!B:B,A388),0))</f>
        <v/>
      </c>
      <c r="E388" s="8">
        <f>IFERROR(C388*D388,0)</f>
        <v/>
      </c>
      <c r="F388" s="10">
        <f>IF(OR($A388="",$B388=""),"",IFERROR($C388*INDEX(INSUMOS!$K$5:$K$67,MATCH($B388,INSUMOS!$B$5:$B$67,0)),0))</f>
        <v/>
      </c>
    </row>
    <row r="389">
      <c r="A389" s="7" t="n"/>
      <c r="B389" s="7" t="n"/>
      <c r="C389" s="7" t="n"/>
      <c r="D389" s="8">
        <f>IF(A389="","",IFERROR(SUMIFS(PRODUCCION!C:C,PRODUCCION!B:B,A389),0))</f>
        <v/>
      </c>
      <c r="E389" s="8">
        <f>IFERROR(C389*D389,0)</f>
        <v/>
      </c>
      <c r="F389" s="10">
        <f>IF(OR($A389="",$B389=""),"",IFERROR($C389*INDEX(INSUMOS!$K$5:$K$67,MATCH($B389,INSUMOS!$B$5:$B$67,0)),0))</f>
        <v/>
      </c>
    </row>
    <row r="390">
      <c r="A390" s="7" t="n"/>
      <c r="B390" s="7" t="n"/>
      <c r="C390" s="7" t="n"/>
      <c r="D390" s="8">
        <f>IF(A390="","",IFERROR(SUMIFS(PRODUCCION!C:C,PRODUCCION!B:B,A390),0))</f>
        <v/>
      </c>
      <c r="E390" s="8">
        <f>IFERROR(C390*D390,0)</f>
        <v/>
      </c>
      <c r="F390" s="10">
        <f>IF(OR($A390="",$B390=""),"",IFERROR($C390*INDEX(INSUMOS!$K$5:$K$67,MATCH($B390,INSUMOS!$B$5:$B$67,0)),0))</f>
        <v/>
      </c>
    </row>
    <row r="391">
      <c r="A391" s="7" t="n"/>
      <c r="B391" s="7" t="n"/>
      <c r="C391" s="7" t="n"/>
      <c r="D391" s="8">
        <f>IF(A391="","",IFERROR(SUMIFS(PRODUCCION!C:C,PRODUCCION!B:B,A391),0))</f>
        <v/>
      </c>
      <c r="E391" s="8">
        <f>IFERROR(C391*D391,0)</f>
        <v/>
      </c>
      <c r="F391" s="10">
        <f>IF(OR($A391="",$B391=""),"",IFERROR($C391*INDEX(INSUMOS!$K$5:$K$67,MATCH($B391,INSUMOS!$B$5:$B$67,0)),0))</f>
        <v/>
      </c>
    </row>
    <row r="392">
      <c r="A392" s="7" t="n"/>
      <c r="B392" s="7" t="n"/>
      <c r="C392" s="7" t="n"/>
      <c r="D392" s="8">
        <f>IF(A392="","",IFERROR(SUMIFS(PRODUCCION!C:C,PRODUCCION!B:B,A392),0))</f>
        <v/>
      </c>
      <c r="E392" s="8">
        <f>IFERROR(C392*D392,0)</f>
        <v/>
      </c>
      <c r="F392" s="10">
        <f>IF(OR($A392="",$B392=""),"",IFERROR($C392*INDEX(INSUMOS!$K$5:$K$67,MATCH($B392,INSUMOS!$B$5:$B$67,0)),0))</f>
        <v/>
      </c>
    </row>
    <row r="393">
      <c r="A393" s="7" t="n"/>
      <c r="B393" s="7" t="n"/>
      <c r="C393" s="7" t="n"/>
      <c r="D393" s="8">
        <f>IF(A393="","",IFERROR(SUMIFS(PRODUCCION!C:C,PRODUCCION!B:B,A393),0))</f>
        <v/>
      </c>
      <c r="E393" s="8">
        <f>IFERROR(C393*D393,0)</f>
        <v/>
      </c>
      <c r="F393" s="10">
        <f>IF(OR($A393="",$B393=""),"",IFERROR($C393*INDEX(INSUMOS!$K$5:$K$67,MATCH($B393,INSUMOS!$B$5:$B$67,0)),0))</f>
        <v/>
      </c>
    </row>
    <row r="394">
      <c r="A394" s="7" t="n"/>
      <c r="B394" s="7" t="n"/>
      <c r="C394" s="7" t="n"/>
      <c r="D394" s="8">
        <f>IF(A394="","",IFERROR(SUMIFS(PRODUCCION!C:C,PRODUCCION!B:B,A394),0))</f>
        <v/>
      </c>
      <c r="E394" s="8">
        <f>IFERROR(C394*D394,0)</f>
        <v/>
      </c>
      <c r="F394" s="10">
        <f>IF(OR($A394="",$B394=""),"",IFERROR($C394*INDEX(INSUMOS!$K$5:$K$67,MATCH($B394,INSUMOS!$B$5:$B$67,0)),0))</f>
        <v/>
      </c>
    </row>
    <row r="395">
      <c r="A395" s="7" t="n"/>
      <c r="B395" s="7" t="n"/>
      <c r="C395" s="7" t="n"/>
      <c r="D395" s="8">
        <f>IF(A395="","",IFERROR(SUMIFS(PRODUCCION!C:C,PRODUCCION!B:B,A395),0))</f>
        <v/>
      </c>
      <c r="E395" s="8">
        <f>IFERROR(C395*D395,0)</f>
        <v/>
      </c>
      <c r="F395" s="10">
        <f>IF(OR($A395="",$B395=""),"",IFERROR($C395*INDEX(INSUMOS!$K$5:$K$67,MATCH($B395,INSUMOS!$B$5:$B$67,0)),0))</f>
        <v/>
      </c>
    </row>
    <row r="396">
      <c r="A396" s="7" t="n"/>
      <c r="B396" s="7" t="n"/>
      <c r="C396" s="7" t="n"/>
      <c r="D396" s="8">
        <f>IF(A396="","",IFERROR(SUMIFS(PRODUCCION!C:C,PRODUCCION!B:B,A396),0))</f>
        <v/>
      </c>
      <c r="E396" s="8">
        <f>IFERROR(C396*D396,0)</f>
        <v/>
      </c>
      <c r="F396" s="10">
        <f>IF(OR($A396="",$B396=""),"",IFERROR($C396*INDEX(INSUMOS!$K$5:$K$67,MATCH($B396,INSUMOS!$B$5:$B$67,0)),0))</f>
        <v/>
      </c>
    </row>
    <row r="397">
      <c r="A397" s="7" t="n"/>
      <c r="B397" s="7" t="n"/>
      <c r="C397" s="7" t="n"/>
      <c r="D397" s="8">
        <f>IF(A397="","",IFERROR(SUMIFS(PRODUCCION!C:C,PRODUCCION!B:B,A397),0))</f>
        <v/>
      </c>
      <c r="E397" s="8">
        <f>IFERROR(C397*D397,0)</f>
        <v/>
      </c>
      <c r="F397" s="10">
        <f>IF(OR($A397="",$B397=""),"",IFERROR($C397*INDEX(INSUMOS!$K$5:$K$67,MATCH($B397,INSUMOS!$B$5:$B$67,0)),0))</f>
        <v/>
      </c>
    </row>
    <row r="398">
      <c r="A398" s="7" t="n"/>
      <c r="B398" s="7" t="n"/>
      <c r="C398" s="7" t="n"/>
      <c r="D398" s="8">
        <f>IF(A398="","",IFERROR(SUMIFS(PRODUCCION!C:C,PRODUCCION!B:B,A398),0))</f>
        <v/>
      </c>
      <c r="E398" s="8">
        <f>IFERROR(C398*D398,0)</f>
        <v/>
      </c>
      <c r="F398" s="10">
        <f>IF(OR($A398="",$B398=""),"",IFERROR($C398*INDEX(INSUMOS!$K$5:$K$67,MATCH($B398,INSUMOS!$B$5:$B$67,0)),0))</f>
        <v/>
      </c>
    </row>
    <row r="399">
      <c r="A399" s="7" t="n"/>
      <c r="B399" s="7" t="n"/>
      <c r="C399" s="7" t="n"/>
      <c r="D399" s="8">
        <f>IF(A399="","",IFERROR(SUMIFS(PRODUCCION!C:C,PRODUCCION!B:B,A399),0))</f>
        <v/>
      </c>
      <c r="E399" s="8">
        <f>IFERROR(C399*D399,0)</f>
        <v/>
      </c>
      <c r="F399" s="10">
        <f>IF(OR($A399="",$B399=""),"",IFERROR($C399*INDEX(INSUMOS!$K$5:$K$67,MATCH($B399,INSUMOS!$B$5:$B$67,0)),0))</f>
        <v/>
      </c>
    </row>
    <row r="400">
      <c r="A400" s="7" t="n"/>
      <c r="B400" s="7" t="n"/>
      <c r="C400" s="7" t="n"/>
      <c r="D400" s="8">
        <f>IF(A400="","",IFERROR(SUMIFS(PRODUCCION!C:C,PRODUCCION!B:B,A400),0))</f>
        <v/>
      </c>
      <c r="E400" s="8">
        <f>IFERROR(C400*D400,0)</f>
        <v/>
      </c>
      <c r="F400" s="10">
        <f>IF(OR($A400="",$B400=""),"",IFERROR($C400*INDEX(INSUMOS!$K$5:$K$67,MATCH($B400,INSUMOS!$B$5:$B$67,0)),0))</f>
        <v/>
      </c>
    </row>
    <row r="401">
      <c r="A401" s="7" t="n"/>
      <c r="B401" s="7" t="n"/>
      <c r="C401" s="7" t="n"/>
      <c r="D401" s="8">
        <f>IF(A401="","",IFERROR(SUMIFS(PRODUCCION!C:C,PRODUCCION!B:B,A401),0))</f>
        <v/>
      </c>
      <c r="E401" s="8">
        <f>IFERROR(C401*D401,0)</f>
        <v/>
      </c>
      <c r="F401" s="10">
        <f>IF(OR($A401="",$B401=""),"",IFERROR($C401*INDEX(INSUMOS!$K$5:$K$67,MATCH($B401,INSUMOS!$B$5:$B$67,0)),0))</f>
        <v/>
      </c>
    </row>
    <row r="402">
      <c r="A402" s="7" t="n"/>
      <c r="B402" s="7" t="n"/>
      <c r="C402" s="7" t="n"/>
      <c r="D402" s="8">
        <f>IF(A402="","",IFERROR(SUMIFS(PRODUCCION!C:C,PRODUCCION!B:B,A402),0))</f>
        <v/>
      </c>
      <c r="E402" s="8">
        <f>IFERROR(C402*D402,0)</f>
        <v/>
      </c>
      <c r="F402" s="10">
        <f>IF(OR($A402="",$B402=""),"",IFERROR($C402*INDEX(INSUMOS!$K$5:$K$67,MATCH($B402,INSUMOS!$B$5:$B$67,0)),0))</f>
        <v/>
      </c>
    </row>
    <row r="403">
      <c r="A403" s="7" t="n"/>
      <c r="B403" s="7" t="n"/>
      <c r="C403" s="7" t="n"/>
      <c r="D403" s="8">
        <f>IF(A403="","",IFERROR(SUMIFS(PRODUCCION!C:C,PRODUCCION!B:B,A403),0))</f>
        <v/>
      </c>
      <c r="E403" s="8">
        <f>IFERROR(C403*D403,0)</f>
        <v/>
      </c>
      <c r="F403" s="10">
        <f>IF(OR($A403="",$B403=""),"",IFERROR($C403*INDEX(INSUMOS!$K$5:$K$67,MATCH($B403,INSUMOS!$B$5:$B$67,0)),0))</f>
        <v/>
      </c>
    </row>
    <row r="404">
      <c r="A404" s="7" t="n"/>
      <c r="B404" s="7" t="n"/>
      <c r="C404" s="7" t="n"/>
      <c r="D404" s="8">
        <f>IF(A404="","",IFERROR(SUMIFS(PRODUCCION!C:C,PRODUCCION!B:B,A404),0))</f>
        <v/>
      </c>
      <c r="E404" s="8">
        <f>IFERROR(C404*D404,0)</f>
        <v/>
      </c>
      <c r="F404" s="10">
        <f>IF(OR($A404="",$B404=""),"",IFERROR($C404*INDEX(INSUMOS!$K$5:$K$67,MATCH($B404,INSUMOS!$B$5:$B$67,0)),0))</f>
        <v/>
      </c>
    </row>
    <row r="405">
      <c r="A405" s="7" t="n"/>
      <c r="B405" s="7" t="n"/>
      <c r="C405" s="7" t="n"/>
      <c r="D405" s="8">
        <f>IF(A405="","",IFERROR(SUMIFS(PRODUCCION!C:C,PRODUCCION!B:B,A405),0))</f>
        <v/>
      </c>
      <c r="E405" s="8">
        <f>IFERROR(C405*D405,0)</f>
        <v/>
      </c>
      <c r="F405" s="10">
        <f>IF(OR($A405="",$B405=""),"",IFERROR($C405*INDEX(INSUMOS!$K$5:$K$67,MATCH($B405,INSUMOS!$B$5:$B$67,0)),0))</f>
        <v/>
      </c>
    </row>
    <row r="406">
      <c r="A406" s="7" t="n"/>
      <c r="B406" s="7" t="n"/>
      <c r="C406" s="7" t="n"/>
      <c r="D406" s="8">
        <f>IF(A406="","",IFERROR(SUMIFS(PRODUCCION!C:C,PRODUCCION!B:B,A406),0))</f>
        <v/>
      </c>
      <c r="E406" s="8">
        <f>IFERROR(C406*D406,0)</f>
        <v/>
      </c>
      <c r="F406" s="10">
        <f>IF(OR($A406="",$B406=""),"",IFERROR($C406*INDEX(INSUMOS!$K$5:$K$67,MATCH($B406,INSUMOS!$B$5:$B$67,0)),0))</f>
        <v/>
      </c>
    </row>
    <row r="407">
      <c r="A407" s="7" t="n"/>
      <c r="B407" s="7" t="n"/>
      <c r="C407" s="7" t="n"/>
      <c r="D407" s="8">
        <f>IF(A407="","",IFERROR(SUMIFS(PRODUCCION!C:C,PRODUCCION!B:B,A407),0))</f>
        <v/>
      </c>
      <c r="E407" s="8">
        <f>IFERROR(C407*D407,0)</f>
        <v/>
      </c>
      <c r="F407" s="10">
        <f>IF(OR($A407="",$B407=""),"",IFERROR($C407*INDEX(INSUMOS!$K$5:$K$67,MATCH($B407,INSUMOS!$B$5:$B$67,0)),0))</f>
        <v/>
      </c>
    </row>
    <row r="408">
      <c r="A408" s="7" t="n"/>
      <c r="B408" s="7" t="n"/>
      <c r="C408" s="7" t="n"/>
      <c r="D408" s="8">
        <f>IF(A408="","",IFERROR(SUMIFS(PRODUCCION!C:C,PRODUCCION!B:B,A408),0))</f>
        <v/>
      </c>
      <c r="E408" s="8">
        <f>IFERROR(C408*D408,0)</f>
        <v/>
      </c>
      <c r="F408" s="10">
        <f>IF(OR($A408="",$B408=""),"",IFERROR($C408*INDEX(INSUMOS!$K$5:$K$67,MATCH($B408,INSUMOS!$B$5:$B$67,0)),0))</f>
        <v/>
      </c>
    </row>
    <row r="409">
      <c r="A409" s="7" t="n"/>
      <c r="B409" s="7" t="n"/>
      <c r="C409" s="7" t="n"/>
      <c r="D409" s="8">
        <f>IF(A409="","",IFERROR(SUMIFS(PRODUCCION!C:C,PRODUCCION!B:B,A409),0))</f>
        <v/>
      </c>
      <c r="E409" s="8">
        <f>IFERROR(C409*D409,0)</f>
        <v/>
      </c>
      <c r="F409" s="10">
        <f>IF(OR($A409="",$B409=""),"",IFERROR($C409*INDEX(INSUMOS!$K$5:$K$67,MATCH($B409,INSUMOS!$B$5:$B$67,0)),0))</f>
        <v/>
      </c>
    </row>
    <row r="410">
      <c r="A410" s="7" t="n"/>
      <c r="B410" s="7" t="n"/>
      <c r="C410" s="7" t="n"/>
      <c r="D410" s="8">
        <f>IF(A410="","",IFERROR(SUMIFS(PRODUCCION!C:C,PRODUCCION!B:B,A410),0))</f>
        <v/>
      </c>
      <c r="E410" s="8">
        <f>IFERROR(C410*D410,0)</f>
        <v/>
      </c>
      <c r="F410" s="10">
        <f>IF(OR($A410="",$B410=""),"",IFERROR($C410*INDEX(INSUMOS!$K$5:$K$67,MATCH($B410,INSUMOS!$B$5:$B$67,0)),0))</f>
        <v/>
      </c>
    </row>
    <row r="411">
      <c r="A411" s="7" t="n"/>
      <c r="B411" s="7" t="n"/>
      <c r="C411" s="7" t="n"/>
      <c r="D411" s="8">
        <f>IF(A411="","",IFERROR(SUMIFS(PRODUCCION!C:C,PRODUCCION!B:B,A411),0))</f>
        <v/>
      </c>
      <c r="E411" s="8">
        <f>IFERROR(C411*D411,0)</f>
        <v/>
      </c>
      <c r="F411" s="10">
        <f>IF(OR($A411="",$B411=""),"",IFERROR($C411*INDEX(INSUMOS!$K$5:$K$67,MATCH($B411,INSUMOS!$B$5:$B$67,0)),0))</f>
        <v/>
      </c>
    </row>
    <row r="412">
      <c r="A412" s="7" t="n"/>
      <c r="B412" s="7" t="n"/>
      <c r="C412" s="7" t="n"/>
      <c r="D412" s="8">
        <f>IF(A412="","",IFERROR(SUMIFS(PRODUCCION!C:C,PRODUCCION!B:B,A412),0))</f>
        <v/>
      </c>
      <c r="E412" s="8">
        <f>IFERROR(C412*D412,0)</f>
        <v/>
      </c>
      <c r="F412" s="10">
        <f>IF(OR($A412="",$B412=""),"",IFERROR($C412*INDEX(INSUMOS!$K$5:$K$67,MATCH($B412,INSUMOS!$B$5:$B$67,0)),0))</f>
        <v/>
      </c>
    </row>
    <row r="413">
      <c r="A413" s="7" t="n"/>
      <c r="B413" s="7" t="n"/>
      <c r="C413" s="7" t="n"/>
      <c r="D413" s="8">
        <f>IF(A413="","",IFERROR(SUMIFS(PRODUCCION!C:C,PRODUCCION!B:B,A413),0))</f>
        <v/>
      </c>
      <c r="E413" s="8">
        <f>IFERROR(C413*D413,0)</f>
        <v/>
      </c>
      <c r="F413" s="10">
        <f>IF(OR($A413="",$B413=""),"",IFERROR($C413*INDEX(INSUMOS!$K$5:$K$67,MATCH($B413,INSUMOS!$B$5:$B$67,0)),0))</f>
        <v/>
      </c>
    </row>
    <row r="414">
      <c r="A414" s="7" t="n"/>
      <c r="B414" s="7" t="n"/>
      <c r="C414" s="7" t="n"/>
      <c r="D414" s="8">
        <f>IF(A414="","",IFERROR(SUMIFS(PRODUCCION!C:C,PRODUCCION!B:B,A414),0))</f>
        <v/>
      </c>
      <c r="E414" s="8">
        <f>IFERROR(C414*D414,0)</f>
        <v/>
      </c>
      <c r="F414" s="10">
        <f>IF(OR($A414="",$B414=""),"",IFERROR($C414*INDEX(INSUMOS!$K$5:$K$67,MATCH($B414,INSUMOS!$B$5:$B$67,0)),0))</f>
        <v/>
      </c>
    </row>
    <row r="415">
      <c r="A415" s="7" t="n"/>
      <c r="B415" s="7" t="n"/>
      <c r="C415" s="7" t="n"/>
      <c r="D415" s="8">
        <f>IF(A415="","",IFERROR(SUMIFS(PRODUCCION!C:C,PRODUCCION!B:B,A415),0))</f>
        <v/>
      </c>
      <c r="E415" s="8">
        <f>IFERROR(C415*D415,0)</f>
        <v/>
      </c>
      <c r="F415" s="10">
        <f>IF(OR($A415="",$B415=""),"",IFERROR($C415*INDEX(INSUMOS!$K$5:$K$67,MATCH($B415,INSUMOS!$B$5:$B$67,0)),0))</f>
        <v/>
      </c>
    </row>
    <row r="416">
      <c r="A416" s="7" t="n"/>
      <c r="B416" s="7" t="n"/>
      <c r="C416" s="7" t="n"/>
      <c r="D416" s="8">
        <f>IF(A416="","",IFERROR(SUMIFS(PRODUCCION!C:C,PRODUCCION!B:B,A416),0))</f>
        <v/>
      </c>
      <c r="E416" s="8">
        <f>IFERROR(C416*D416,0)</f>
        <v/>
      </c>
      <c r="F416" s="10">
        <f>IF(OR($A416="",$B416=""),"",IFERROR($C416*INDEX(INSUMOS!$K$5:$K$67,MATCH($B416,INSUMOS!$B$5:$B$67,0)),0))</f>
        <v/>
      </c>
    </row>
    <row r="417">
      <c r="A417" s="7" t="n"/>
      <c r="B417" s="7" t="n"/>
      <c r="C417" s="7" t="n"/>
      <c r="D417" s="8">
        <f>IF(A417="","",IFERROR(SUMIFS(PRODUCCION!C:C,PRODUCCION!B:B,A417),0))</f>
        <v/>
      </c>
      <c r="E417" s="8">
        <f>IFERROR(C417*D417,0)</f>
        <v/>
      </c>
      <c r="F417" s="10">
        <f>IF(OR($A417="",$B417=""),"",IFERROR($C417*INDEX(INSUMOS!$K$5:$K$67,MATCH($B417,INSUMOS!$B$5:$B$67,0)),0))</f>
        <v/>
      </c>
    </row>
    <row r="418">
      <c r="A418" s="7" t="n"/>
      <c r="B418" s="7" t="n"/>
      <c r="C418" s="7" t="n"/>
      <c r="D418" s="8">
        <f>IF(A418="","",IFERROR(SUMIFS(PRODUCCION!C:C,PRODUCCION!B:B,A418),0))</f>
        <v/>
      </c>
      <c r="E418" s="8">
        <f>IFERROR(C418*D418,0)</f>
        <v/>
      </c>
      <c r="F418" s="10">
        <f>IF(OR($A418="",$B418=""),"",IFERROR($C418*INDEX(INSUMOS!$K$5:$K$67,MATCH($B418,INSUMOS!$B$5:$B$67,0)),0))</f>
        <v/>
      </c>
    </row>
    <row r="419">
      <c r="A419" s="7" t="n"/>
      <c r="B419" s="7" t="n"/>
      <c r="C419" s="7" t="n"/>
      <c r="D419" s="8">
        <f>IF(A419="","",IFERROR(SUMIFS(PRODUCCION!C:C,PRODUCCION!B:B,A419),0))</f>
        <v/>
      </c>
      <c r="E419" s="8">
        <f>IFERROR(C419*D419,0)</f>
        <v/>
      </c>
      <c r="F419" s="10">
        <f>IF(OR($A419="",$B419=""),"",IFERROR($C419*INDEX(INSUMOS!$K$5:$K$67,MATCH($B419,INSUMOS!$B$5:$B$67,0)),0))</f>
        <v/>
      </c>
    </row>
    <row r="420">
      <c r="A420" s="7" t="n"/>
      <c r="B420" s="7" t="n"/>
      <c r="C420" s="7" t="n"/>
      <c r="D420" s="8">
        <f>IF(A420="","",IFERROR(SUMIFS(PRODUCCION!C:C,PRODUCCION!B:B,A420),0))</f>
        <v/>
      </c>
      <c r="E420" s="8">
        <f>IFERROR(C420*D420,0)</f>
        <v/>
      </c>
      <c r="F420" s="10">
        <f>IF(OR($A420="",$B420=""),"",IFERROR($C420*INDEX(INSUMOS!$K$5:$K$67,MATCH($B420,INSUMOS!$B$5:$B$67,0)),0))</f>
        <v/>
      </c>
    </row>
    <row r="421">
      <c r="A421" s="7" t="n"/>
      <c r="B421" s="7" t="n"/>
      <c r="C421" s="7" t="n"/>
      <c r="D421" s="8">
        <f>IF(A421="","",IFERROR(SUMIFS(PRODUCCION!C:C,PRODUCCION!B:B,A421),0))</f>
        <v/>
      </c>
      <c r="E421" s="8">
        <f>IFERROR(C421*D421,0)</f>
        <v/>
      </c>
      <c r="F421" s="10">
        <f>IF(OR($A421="",$B421=""),"",IFERROR($C421*INDEX(INSUMOS!$K$5:$K$67,MATCH($B421,INSUMOS!$B$5:$B$67,0)),0))</f>
        <v/>
      </c>
    </row>
    <row r="422">
      <c r="A422" s="7" t="n"/>
      <c r="B422" s="7" t="n"/>
      <c r="C422" s="7" t="n"/>
      <c r="D422" s="8">
        <f>IF(A422="","",IFERROR(SUMIFS(PRODUCCION!C:C,PRODUCCION!B:B,A422),0))</f>
        <v/>
      </c>
      <c r="E422" s="8">
        <f>IFERROR(C422*D422,0)</f>
        <v/>
      </c>
      <c r="F422" s="10">
        <f>IF(OR($A422="",$B422=""),"",IFERROR($C422*INDEX(INSUMOS!$K$5:$K$67,MATCH($B422,INSUMOS!$B$5:$B$67,0)),0))</f>
        <v/>
      </c>
    </row>
    <row r="423">
      <c r="A423" s="7" t="n"/>
      <c r="B423" s="7" t="n"/>
      <c r="C423" s="7" t="n"/>
      <c r="D423" s="8">
        <f>IF(A423="","",IFERROR(SUMIFS(PRODUCCION!C:C,PRODUCCION!B:B,A423),0))</f>
        <v/>
      </c>
      <c r="E423" s="8">
        <f>IFERROR(C423*D423,0)</f>
        <v/>
      </c>
      <c r="F423" s="10">
        <f>IF(OR($A423="",$B423=""),"",IFERROR($C423*INDEX(INSUMOS!$K$5:$K$67,MATCH($B423,INSUMOS!$B$5:$B$67,0)),0))</f>
        <v/>
      </c>
    </row>
    <row r="424">
      <c r="A424" s="7" t="n"/>
      <c r="B424" s="7" t="n"/>
      <c r="C424" s="7" t="n"/>
      <c r="D424" s="8">
        <f>IF(A424="","",IFERROR(SUMIFS(PRODUCCION!C:C,PRODUCCION!B:B,A424),0))</f>
        <v/>
      </c>
      <c r="E424" s="8">
        <f>IFERROR(C424*D424,0)</f>
        <v/>
      </c>
      <c r="F424" s="10">
        <f>IF(OR($A424="",$B424=""),"",IFERROR($C424*INDEX(INSUMOS!$K$5:$K$67,MATCH($B424,INSUMOS!$B$5:$B$67,0)),0))</f>
        <v/>
      </c>
    </row>
    <row r="425">
      <c r="A425" s="7" t="n"/>
      <c r="B425" s="7" t="n"/>
      <c r="C425" s="7" t="n"/>
      <c r="D425" s="8">
        <f>IF(A425="","",IFERROR(SUMIFS(PRODUCCION!C:C,PRODUCCION!B:B,A425),0))</f>
        <v/>
      </c>
      <c r="E425" s="8">
        <f>IFERROR(C425*D425,0)</f>
        <v/>
      </c>
      <c r="F425" s="10">
        <f>IF(OR($A425="",$B425=""),"",IFERROR($C425*INDEX(INSUMOS!$K$5:$K$67,MATCH($B425,INSUMOS!$B$5:$B$67,0)),0))</f>
        <v/>
      </c>
    </row>
    <row r="426">
      <c r="A426" s="7" t="n"/>
      <c r="B426" s="7" t="n"/>
      <c r="C426" s="7" t="n"/>
      <c r="D426" s="8">
        <f>IF(A426="","",IFERROR(SUMIFS(PRODUCCION!C:C,PRODUCCION!B:B,A426),0))</f>
        <v/>
      </c>
      <c r="E426" s="8">
        <f>IFERROR(C426*D426,0)</f>
        <v/>
      </c>
      <c r="F426" s="10">
        <f>IF(OR($A426="",$B426=""),"",IFERROR($C426*INDEX(INSUMOS!$K$5:$K$67,MATCH($B426,INSUMOS!$B$5:$B$67,0)),0))</f>
        <v/>
      </c>
    </row>
    <row r="427">
      <c r="A427" s="7" t="n"/>
      <c r="B427" s="7" t="n"/>
      <c r="C427" s="7" t="n"/>
      <c r="D427" s="8">
        <f>IF(A427="","",IFERROR(SUMIFS(PRODUCCION!C:C,PRODUCCION!B:B,A427),0))</f>
        <v/>
      </c>
      <c r="E427" s="8">
        <f>IFERROR(C427*D427,0)</f>
        <v/>
      </c>
      <c r="F427" s="10">
        <f>IF(OR($A427="",$B427=""),"",IFERROR($C427*INDEX(INSUMOS!$K$5:$K$67,MATCH($B427,INSUMOS!$B$5:$B$67,0)),0))</f>
        <v/>
      </c>
    </row>
    <row r="428">
      <c r="A428" s="7" t="n"/>
      <c r="B428" s="7" t="n"/>
      <c r="C428" s="7" t="n"/>
      <c r="D428" s="8">
        <f>IF(A428="","",IFERROR(SUMIFS(PRODUCCION!C:C,PRODUCCION!B:B,A428),0))</f>
        <v/>
      </c>
      <c r="E428" s="8">
        <f>IFERROR(C428*D428,0)</f>
        <v/>
      </c>
      <c r="F428" s="10">
        <f>IF(OR($A428="",$B428=""),"",IFERROR($C428*INDEX(INSUMOS!$K$5:$K$67,MATCH($B428,INSUMOS!$B$5:$B$67,0)),0))</f>
        <v/>
      </c>
    </row>
    <row r="429">
      <c r="A429" s="7" t="n"/>
      <c r="B429" s="7" t="n"/>
      <c r="C429" s="7" t="n"/>
      <c r="D429" s="8">
        <f>IF(A429="","",IFERROR(SUMIFS(PRODUCCION!C:C,PRODUCCION!B:B,A429),0))</f>
        <v/>
      </c>
      <c r="E429" s="8">
        <f>IFERROR(C429*D429,0)</f>
        <v/>
      </c>
      <c r="F429" s="10">
        <f>IF(OR($A429="",$B429=""),"",IFERROR($C429*INDEX(INSUMOS!$K$5:$K$67,MATCH($B429,INSUMOS!$B$5:$B$67,0)),0))</f>
        <v/>
      </c>
    </row>
    <row r="430">
      <c r="A430" s="7" t="n"/>
      <c r="B430" s="7" t="n"/>
      <c r="C430" s="7" t="n"/>
      <c r="D430" s="8">
        <f>IF(A430="","",IFERROR(SUMIFS(PRODUCCION!C:C,PRODUCCION!B:B,A430),0))</f>
        <v/>
      </c>
      <c r="E430" s="8">
        <f>IFERROR(C430*D430,0)</f>
        <v/>
      </c>
      <c r="F430" s="10">
        <f>IF(OR($A430="",$B430=""),"",IFERROR($C430*INDEX(INSUMOS!$K$5:$K$67,MATCH($B430,INSUMOS!$B$5:$B$67,0)),0))</f>
        <v/>
      </c>
    </row>
    <row r="431">
      <c r="A431" s="7" t="n"/>
      <c r="B431" s="7" t="n"/>
      <c r="C431" s="7" t="n"/>
      <c r="D431" s="8">
        <f>IF(A431="","",IFERROR(SUMIFS(PRODUCCION!C:C,PRODUCCION!B:B,A431),0))</f>
        <v/>
      </c>
      <c r="E431" s="8">
        <f>IFERROR(C431*D431,0)</f>
        <v/>
      </c>
      <c r="F431" s="10">
        <f>IF(OR($A431="",$B431=""),"",IFERROR($C431*INDEX(INSUMOS!$K$5:$K$67,MATCH($B431,INSUMOS!$B$5:$B$67,0)),0))</f>
        <v/>
      </c>
    </row>
    <row r="432">
      <c r="A432" s="7" t="n"/>
      <c r="B432" s="7" t="n"/>
      <c r="C432" s="7" t="n"/>
      <c r="D432" s="8">
        <f>IF(A432="","",IFERROR(SUMIFS(PRODUCCION!C:C,PRODUCCION!B:B,A432),0))</f>
        <v/>
      </c>
      <c r="E432" s="8">
        <f>IFERROR(C432*D432,0)</f>
        <v/>
      </c>
      <c r="F432" s="10">
        <f>IF(OR($A432="",$B432=""),"",IFERROR($C432*INDEX(INSUMOS!$K$5:$K$67,MATCH($B432,INSUMOS!$B$5:$B$67,0)),0))</f>
        <v/>
      </c>
    </row>
    <row r="433">
      <c r="A433" s="7" t="n"/>
      <c r="B433" s="7" t="n"/>
      <c r="C433" s="7" t="n"/>
      <c r="D433" s="8">
        <f>IF(A433="","",IFERROR(SUMIFS(PRODUCCION!C:C,PRODUCCION!B:B,A433),0))</f>
        <v/>
      </c>
      <c r="E433" s="8">
        <f>IFERROR(C433*D433,0)</f>
        <v/>
      </c>
      <c r="F433" s="10">
        <f>IF(OR($A433="",$B433=""),"",IFERROR($C433*INDEX(INSUMOS!$K$5:$K$67,MATCH($B433,INSUMOS!$B$5:$B$67,0)),0))</f>
        <v/>
      </c>
    </row>
    <row r="434">
      <c r="A434" s="7" t="n"/>
      <c r="B434" s="7" t="n"/>
      <c r="C434" s="7" t="n"/>
      <c r="D434" s="8">
        <f>IF(A434="","",IFERROR(SUMIFS(PRODUCCION!C:C,PRODUCCION!B:B,A434),0))</f>
        <v/>
      </c>
      <c r="E434" s="8">
        <f>IFERROR(C434*D434,0)</f>
        <v/>
      </c>
      <c r="F434" s="10">
        <f>IF(OR($A434="",$B434=""),"",IFERROR($C434*INDEX(INSUMOS!$K$5:$K$67,MATCH($B434,INSUMOS!$B$5:$B$67,0)),0))</f>
        <v/>
      </c>
    </row>
    <row r="435">
      <c r="A435" s="7" t="n"/>
      <c r="B435" s="7" t="n"/>
      <c r="C435" s="7" t="n"/>
      <c r="D435" s="8">
        <f>IF(A435="","",IFERROR(SUMIFS(PRODUCCION!C:C,PRODUCCION!B:B,A435),0))</f>
        <v/>
      </c>
      <c r="E435" s="8">
        <f>IFERROR(C435*D435,0)</f>
        <v/>
      </c>
      <c r="F435" s="10">
        <f>IF(OR($A435="",$B435=""),"",IFERROR($C435*INDEX(INSUMOS!$K$5:$K$67,MATCH($B435,INSUMOS!$B$5:$B$67,0)),0))</f>
        <v/>
      </c>
    </row>
    <row r="436">
      <c r="A436" s="7" t="n"/>
      <c r="B436" s="7" t="n"/>
      <c r="C436" s="7" t="n"/>
      <c r="D436" s="8">
        <f>IF(A436="","",IFERROR(SUMIFS(PRODUCCION!C:C,PRODUCCION!B:B,A436),0))</f>
        <v/>
      </c>
      <c r="E436" s="8">
        <f>IFERROR(C436*D436,0)</f>
        <v/>
      </c>
      <c r="F436" s="10">
        <f>IF(OR($A436="",$B436=""),"",IFERROR($C436*INDEX(INSUMOS!$K$5:$K$67,MATCH($B436,INSUMOS!$B$5:$B$67,0)),0))</f>
        <v/>
      </c>
    </row>
    <row r="437">
      <c r="A437" s="7" t="n"/>
      <c r="B437" s="7" t="n"/>
      <c r="C437" s="7" t="n"/>
      <c r="D437" s="8">
        <f>IF(A437="","",IFERROR(SUMIFS(PRODUCCION!C:C,PRODUCCION!B:B,A437),0))</f>
        <v/>
      </c>
      <c r="E437" s="8">
        <f>IFERROR(C437*D437,0)</f>
        <v/>
      </c>
      <c r="F437" s="10">
        <f>IF(OR($A437="",$B437=""),"",IFERROR($C437*INDEX(INSUMOS!$K$5:$K$67,MATCH($B437,INSUMOS!$B$5:$B$67,0)),0))</f>
        <v/>
      </c>
    </row>
    <row r="438">
      <c r="A438" s="7" t="n"/>
      <c r="B438" s="7" t="n"/>
      <c r="C438" s="7" t="n"/>
      <c r="D438" s="8">
        <f>IF(A438="","",IFERROR(SUMIFS(PRODUCCION!C:C,PRODUCCION!B:B,A438),0))</f>
        <v/>
      </c>
      <c r="E438" s="8">
        <f>IFERROR(C438*D438,0)</f>
        <v/>
      </c>
      <c r="F438" s="10">
        <f>IF(OR($A438="",$B438=""),"",IFERROR($C438*INDEX(INSUMOS!$K$5:$K$67,MATCH($B438,INSUMOS!$B$5:$B$67,0)),0))</f>
        <v/>
      </c>
    </row>
    <row r="439">
      <c r="A439" s="7" t="n"/>
      <c r="B439" s="7" t="n"/>
      <c r="C439" s="7" t="n"/>
      <c r="D439" s="8">
        <f>IF(A439="","",IFERROR(SUMIFS(PRODUCCION!C:C,PRODUCCION!B:B,A439),0))</f>
        <v/>
      </c>
      <c r="E439" s="8">
        <f>IFERROR(C439*D439,0)</f>
        <v/>
      </c>
      <c r="F439" s="10">
        <f>IF(OR($A439="",$B439=""),"",IFERROR($C439*INDEX(INSUMOS!$K$5:$K$67,MATCH($B439,INSUMOS!$B$5:$B$67,0)),0))</f>
        <v/>
      </c>
    </row>
    <row r="440">
      <c r="A440" s="7" t="n"/>
      <c r="B440" s="7" t="n"/>
      <c r="C440" s="7" t="n"/>
      <c r="D440" s="8">
        <f>IF(A440="","",IFERROR(SUMIFS(PRODUCCION!C:C,PRODUCCION!B:B,A440),0))</f>
        <v/>
      </c>
      <c r="E440" s="8">
        <f>IFERROR(C440*D440,0)</f>
        <v/>
      </c>
      <c r="F440" s="10">
        <f>IF(OR($A440="",$B440=""),"",IFERROR($C440*INDEX(INSUMOS!$K$5:$K$67,MATCH($B440,INSUMOS!$B$5:$B$67,0)),0))</f>
        <v/>
      </c>
    </row>
    <row r="441">
      <c r="A441" s="7" t="n"/>
      <c r="B441" s="7" t="n"/>
      <c r="C441" s="7" t="n"/>
      <c r="D441" s="8">
        <f>IF(A441="","",IFERROR(SUMIFS(PRODUCCION!C:C,PRODUCCION!B:B,A441),0))</f>
        <v/>
      </c>
      <c r="E441" s="8">
        <f>IFERROR(C441*D441,0)</f>
        <v/>
      </c>
      <c r="F441" s="10">
        <f>IF(OR($A441="",$B441=""),"",IFERROR($C441*INDEX(INSUMOS!$K$5:$K$67,MATCH($B441,INSUMOS!$B$5:$B$67,0)),0))</f>
        <v/>
      </c>
    </row>
    <row r="442">
      <c r="A442" s="7" t="n"/>
      <c r="B442" s="7" t="n"/>
      <c r="C442" s="7" t="n"/>
      <c r="D442" s="8">
        <f>IF(A442="","",IFERROR(SUMIFS(PRODUCCION!C:C,PRODUCCION!B:B,A442),0))</f>
        <v/>
      </c>
      <c r="E442" s="8">
        <f>IFERROR(C442*D442,0)</f>
        <v/>
      </c>
      <c r="F442" s="10">
        <f>IF(OR($A442="",$B442=""),"",IFERROR($C442*INDEX(INSUMOS!$K$5:$K$67,MATCH($B442,INSUMOS!$B$5:$B$67,0)),0))</f>
        <v/>
      </c>
    </row>
    <row r="443">
      <c r="A443" s="7" t="n"/>
      <c r="B443" s="7" t="n"/>
      <c r="C443" s="7" t="n"/>
      <c r="D443" s="8">
        <f>IF(A443="","",IFERROR(SUMIFS(PRODUCCION!C:C,PRODUCCION!B:B,A443),0))</f>
        <v/>
      </c>
      <c r="E443" s="8">
        <f>IFERROR(C443*D443,0)</f>
        <v/>
      </c>
      <c r="F443" s="10">
        <f>IF(OR($A443="",$B443=""),"",IFERROR($C443*INDEX(INSUMOS!$K$5:$K$67,MATCH($B443,INSUMOS!$B$5:$B$67,0)),0))</f>
        <v/>
      </c>
    </row>
    <row r="444">
      <c r="A444" s="7" t="n"/>
      <c r="B444" s="7" t="n"/>
      <c r="C444" s="7" t="n"/>
      <c r="D444" s="8">
        <f>IF(A444="","",IFERROR(SUMIFS(PRODUCCION!C:C,PRODUCCION!B:B,A444),0))</f>
        <v/>
      </c>
      <c r="E444" s="8">
        <f>IFERROR(C444*D444,0)</f>
        <v/>
      </c>
      <c r="F444" s="10">
        <f>IF(OR($A444="",$B444=""),"",IFERROR($C444*INDEX(INSUMOS!$K$5:$K$67,MATCH($B444,INSUMOS!$B$5:$B$67,0)),0))</f>
        <v/>
      </c>
    </row>
    <row r="445">
      <c r="A445" s="7" t="n"/>
      <c r="B445" s="7" t="n"/>
      <c r="C445" s="7" t="n"/>
      <c r="D445" s="8">
        <f>IF(A445="","",IFERROR(SUMIFS(PRODUCCION!C:C,PRODUCCION!B:B,A445),0))</f>
        <v/>
      </c>
      <c r="E445" s="8">
        <f>IFERROR(C445*D445,0)</f>
        <v/>
      </c>
      <c r="F445" s="10">
        <f>IF(OR($A445="",$B445=""),"",IFERROR($C445*INDEX(INSUMOS!$K$5:$K$67,MATCH($B445,INSUMOS!$B$5:$B$67,0)),0))</f>
        <v/>
      </c>
    </row>
    <row r="446">
      <c r="A446" s="7" t="n"/>
      <c r="B446" s="7" t="n"/>
      <c r="C446" s="7" t="n"/>
      <c r="D446" s="8">
        <f>IF(A446="","",IFERROR(SUMIFS(PRODUCCION!C:C,PRODUCCION!B:B,A446),0))</f>
        <v/>
      </c>
      <c r="E446" s="8">
        <f>IFERROR(C446*D446,0)</f>
        <v/>
      </c>
      <c r="F446" s="10">
        <f>IF(OR($A446="",$B446=""),"",IFERROR($C446*INDEX(INSUMOS!$K$5:$K$67,MATCH($B446,INSUMOS!$B$5:$B$67,0)),0))</f>
        <v/>
      </c>
    </row>
    <row r="447">
      <c r="A447" s="7" t="n"/>
      <c r="B447" s="7" t="n"/>
      <c r="C447" s="7" t="n"/>
      <c r="D447" s="8">
        <f>IF(A447="","",IFERROR(SUMIFS(PRODUCCION!C:C,PRODUCCION!B:B,A447),0))</f>
        <v/>
      </c>
      <c r="E447" s="8">
        <f>IFERROR(C447*D447,0)</f>
        <v/>
      </c>
      <c r="F447" s="10">
        <f>IF(OR($A447="",$B447=""),"",IFERROR($C447*INDEX(INSUMOS!$K$5:$K$67,MATCH($B447,INSUMOS!$B$5:$B$67,0)),0))</f>
        <v/>
      </c>
    </row>
    <row r="448">
      <c r="A448" s="7" t="n"/>
      <c r="B448" s="7" t="n"/>
      <c r="C448" s="7" t="n"/>
      <c r="D448" s="8">
        <f>IF(A448="","",IFERROR(SUMIFS(PRODUCCION!C:C,PRODUCCION!B:B,A448),0))</f>
        <v/>
      </c>
      <c r="E448" s="8">
        <f>IFERROR(C448*D448,0)</f>
        <v/>
      </c>
      <c r="F448" s="10">
        <f>IF(OR($A448="",$B448=""),"",IFERROR($C448*INDEX(INSUMOS!$K$5:$K$67,MATCH($B448,INSUMOS!$B$5:$B$67,0)),0))</f>
        <v/>
      </c>
    </row>
    <row r="449">
      <c r="A449" s="7" t="n"/>
      <c r="B449" s="7" t="n"/>
      <c r="C449" s="7" t="n"/>
      <c r="D449" s="8">
        <f>IF(A449="","",IFERROR(SUMIFS(PRODUCCION!C:C,PRODUCCION!B:B,A449),0))</f>
        <v/>
      </c>
      <c r="E449" s="8">
        <f>IFERROR(C449*D449,0)</f>
        <v/>
      </c>
      <c r="F449" s="10">
        <f>IF(OR($A449="",$B449=""),"",IFERROR($C449*INDEX(INSUMOS!$K$5:$K$67,MATCH($B449,INSUMOS!$B$5:$B$67,0)),0))</f>
        <v/>
      </c>
    </row>
    <row r="450">
      <c r="A450" s="7" t="n"/>
      <c r="B450" s="7" t="n"/>
      <c r="C450" s="7" t="n"/>
      <c r="D450" s="8">
        <f>IF(A450="","",IFERROR(SUMIFS(PRODUCCION!C:C,PRODUCCION!B:B,A450),0))</f>
        <v/>
      </c>
      <c r="E450" s="8">
        <f>IFERROR(C450*D450,0)</f>
        <v/>
      </c>
      <c r="F450" s="10">
        <f>IF(OR($A450="",$B450=""),"",IFERROR($C450*INDEX(INSUMOS!$K$5:$K$67,MATCH($B450,INSUMOS!$B$5:$B$67,0)),0))</f>
        <v/>
      </c>
    </row>
    <row r="451">
      <c r="A451" s="7" t="n"/>
      <c r="B451" s="7" t="n"/>
      <c r="C451" s="7" t="n"/>
      <c r="D451" s="8">
        <f>IF(A451="","",IFERROR(SUMIFS(PRODUCCION!C:C,PRODUCCION!B:B,A451),0))</f>
        <v/>
      </c>
      <c r="E451" s="8">
        <f>IFERROR(C451*D451,0)</f>
        <v/>
      </c>
      <c r="F451" s="10">
        <f>IF(OR($A451="",$B451=""),"",IFERROR($C451*INDEX(INSUMOS!$K$5:$K$67,MATCH($B451,INSUMOS!$B$5:$B$67,0)),0))</f>
        <v/>
      </c>
    </row>
    <row r="452">
      <c r="A452" s="7" t="n"/>
      <c r="B452" s="7" t="n"/>
      <c r="C452" s="7" t="n"/>
      <c r="D452" s="8">
        <f>IF(A452="","",IFERROR(SUMIFS(PRODUCCION!C:C,PRODUCCION!B:B,A452),0))</f>
        <v/>
      </c>
      <c r="E452" s="8">
        <f>IFERROR(C452*D452,0)</f>
        <v/>
      </c>
      <c r="F452" s="10">
        <f>IF(OR($A452="",$B452=""),"",IFERROR($C452*INDEX(INSUMOS!$K$5:$K$67,MATCH($B452,INSUMOS!$B$5:$B$67,0)),0))</f>
        <v/>
      </c>
    </row>
    <row r="453">
      <c r="A453" s="7" t="n"/>
      <c r="B453" s="7" t="n"/>
      <c r="C453" s="7" t="n"/>
      <c r="D453" s="8">
        <f>IF(A453="","",IFERROR(SUMIFS(PRODUCCION!C:C,PRODUCCION!B:B,A453),0))</f>
        <v/>
      </c>
      <c r="E453" s="8">
        <f>IFERROR(C453*D453,0)</f>
        <v/>
      </c>
      <c r="F453" s="10">
        <f>IF(OR($A453="",$B453=""),"",IFERROR($C453*INDEX(INSUMOS!$K$5:$K$67,MATCH($B453,INSUMOS!$B$5:$B$67,0)),0))</f>
        <v/>
      </c>
    </row>
    <row r="454">
      <c r="A454" s="7" t="n"/>
      <c r="B454" s="7" t="n"/>
      <c r="C454" s="7" t="n"/>
      <c r="D454" s="8">
        <f>IF(A454="","",IFERROR(SUMIFS(PRODUCCION!C:C,PRODUCCION!B:B,A454),0))</f>
        <v/>
      </c>
      <c r="E454" s="8">
        <f>IFERROR(C454*D454,0)</f>
        <v/>
      </c>
      <c r="F454" s="10">
        <f>IF(OR($A454="",$B454=""),"",IFERROR($C454*INDEX(INSUMOS!$K$5:$K$67,MATCH($B454,INSUMOS!$B$5:$B$67,0)),0))</f>
        <v/>
      </c>
    </row>
    <row r="455">
      <c r="A455" s="7" t="n"/>
      <c r="B455" s="7" t="n"/>
      <c r="C455" s="7" t="n"/>
      <c r="D455" s="8">
        <f>IF(A455="","",IFERROR(SUMIFS(PRODUCCION!C:C,PRODUCCION!B:B,A455),0))</f>
        <v/>
      </c>
      <c r="E455" s="8">
        <f>IFERROR(C455*D455,0)</f>
        <v/>
      </c>
      <c r="F455" s="10">
        <f>IF(OR($A455="",$B455=""),"",IFERROR($C455*INDEX(INSUMOS!$K$5:$K$67,MATCH($B455,INSUMOS!$B$5:$B$67,0)),0))</f>
        <v/>
      </c>
    </row>
    <row r="456">
      <c r="A456" s="7" t="n"/>
      <c r="B456" s="7" t="n"/>
      <c r="C456" s="7" t="n"/>
      <c r="D456" s="8">
        <f>IF(A456="","",IFERROR(SUMIFS(PRODUCCION!C:C,PRODUCCION!B:B,A456),0))</f>
        <v/>
      </c>
      <c r="E456" s="8">
        <f>IFERROR(C456*D456,0)</f>
        <v/>
      </c>
      <c r="F456" s="10">
        <f>IF(OR($A456="",$B456=""),"",IFERROR($C456*INDEX(INSUMOS!$K$5:$K$67,MATCH($B456,INSUMOS!$B$5:$B$67,0)),0))</f>
        <v/>
      </c>
    </row>
    <row r="457">
      <c r="A457" s="7" t="n"/>
      <c r="B457" s="7" t="n"/>
      <c r="C457" s="7" t="n"/>
      <c r="D457" s="8">
        <f>IF(A457="","",IFERROR(SUMIFS(PRODUCCION!C:C,PRODUCCION!B:B,A457),0))</f>
        <v/>
      </c>
      <c r="E457" s="8">
        <f>IFERROR(C457*D457,0)</f>
        <v/>
      </c>
      <c r="F457" s="10">
        <f>IF(OR($A457="",$B457=""),"",IFERROR($C457*INDEX(INSUMOS!$K$5:$K$67,MATCH($B457,INSUMOS!$B$5:$B$67,0)),0))</f>
        <v/>
      </c>
    </row>
    <row r="458">
      <c r="A458" s="7" t="n"/>
      <c r="B458" s="7" t="n"/>
      <c r="C458" s="7" t="n"/>
      <c r="D458" s="8">
        <f>IF(A458="","",IFERROR(SUMIFS(PRODUCCION!C:C,PRODUCCION!B:B,A458),0))</f>
        <v/>
      </c>
      <c r="E458" s="8">
        <f>IFERROR(C458*D458,0)</f>
        <v/>
      </c>
      <c r="F458" s="10">
        <f>IF(OR($A458="",$B458=""),"",IFERROR($C458*INDEX(INSUMOS!$K$5:$K$67,MATCH($B458,INSUMOS!$B$5:$B$67,0)),0))</f>
        <v/>
      </c>
    </row>
    <row r="459">
      <c r="A459" s="7" t="n"/>
      <c r="B459" s="7" t="n"/>
      <c r="C459" s="7" t="n"/>
      <c r="D459" s="8">
        <f>IF(A459="","",IFERROR(SUMIFS(PRODUCCION!C:C,PRODUCCION!B:B,A459),0))</f>
        <v/>
      </c>
      <c r="E459" s="8">
        <f>IFERROR(C459*D459,0)</f>
        <v/>
      </c>
      <c r="F459" s="10">
        <f>IF(OR($A459="",$B459=""),"",IFERROR($C459*INDEX(INSUMOS!$K$5:$K$67,MATCH($B459,INSUMOS!$B$5:$B$67,0)),0))</f>
        <v/>
      </c>
    </row>
    <row r="460">
      <c r="A460" s="7" t="n"/>
      <c r="B460" s="7" t="n"/>
      <c r="C460" s="7" t="n"/>
      <c r="D460" s="8">
        <f>IF(A460="","",IFERROR(SUMIFS(PRODUCCION!C:C,PRODUCCION!B:B,A460),0))</f>
        <v/>
      </c>
      <c r="E460" s="8">
        <f>IFERROR(C460*D460,0)</f>
        <v/>
      </c>
      <c r="F460" s="10">
        <f>IF(OR($A460="",$B460=""),"",IFERROR($C460*INDEX(INSUMOS!$K$5:$K$67,MATCH($B460,INSUMOS!$B$5:$B$67,0)),0))</f>
        <v/>
      </c>
    </row>
    <row r="461">
      <c r="A461" s="7" t="n"/>
      <c r="B461" s="7" t="n"/>
      <c r="C461" s="7" t="n"/>
      <c r="D461" s="8">
        <f>IF(A461="","",IFERROR(SUMIFS(PRODUCCION!C:C,PRODUCCION!B:B,A461),0))</f>
        <v/>
      </c>
      <c r="E461" s="8">
        <f>IFERROR(C461*D461,0)</f>
        <v/>
      </c>
      <c r="F461" s="10">
        <f>IF(OR($A461="",$B461=""),"",IFERROR($C461*INDEX(INSUMOS!$K$5:$K$67,MATCH($B461,INSUMOS!$B$5:$B$67,0)),0))</f>
        <v/>
      </c>
    </row>
    <row r="462">
      <c r="A462" s="7" t="n"/>
      <c r="B462" s="7" t="n"/>
      <c r="C462" s="7" t="n"/>
      <c r="D462" s="8">
        <f>IF(A462="","",IFERROR(SUMIFS(PRODUCCION!C:C,PRODUCCION!B:B,A462),0))</f>
        <v/>
      </c>
      <c r="E462" s="8">
        <f>IFERROR(C462*D462,0)</f>
        <v/>
      </c>
      <c r="F462" s="10">
        <f>IF(OR($A462="",$B462=""),"",IFERROR($C462*INDEX(INSUMOS!$K$5:$K$67,MATCH($B462,INSUMOS!$B$5:$B$67,0)),0))</f>
        <v/>
      </c>
    </row>
    <row r="463">
      <c r="A463" s="7" t="n"/>
      <c r="B463" s="7" t="n"/>
      <c r="C463" s="7" t="n"/>
      <c r="D463" s="8">
        <f>IF(A463="","",IFERROR(SUMIFS(PRODUCCION!C:C,PRODUCCION!B:B,A463),0))</f>
        <v/>
      </c>
      <c r="E463" s="8">
        <f>IFERROR(C463*D463,0)</f>
        <v/>
      </c>
      <c r="F463" s="10">
        <f>IF(OR($A463="",$B463=""),"",IFERROR($C463*INDEX(INSUMOS!$K$5:$K$67,MATCH($B463,INSUMOS!$B$5:$B$67,0)),0))</f>
        <v/>
      </c>
    </row>
    <row r="464">
      <c r="A464" s="7" t="n"/>
      <c r="B464" s="7" t="n"/>
      <c r="C464" s="7" t="n"/>
      <c r="D464" s="8">
        <f>IF(A464="","",IFERROR(SUMIFS(PRODUCCION!C:C,PRODUCCION!B:B,A464),0))</f>
        <v/>
      </c>
      <c r="E464" s="8">
        <f>IFERROR(C464*D464,0)</f>
        <v/>
      </c>
      <c r="F464" s="10">
        <f>IF(OR($A464="",$B464=""),"",IFERROR($C464*INDEX(INSUMOS!$K$5:$K$67,MATCH($B464,INSUMOS!$B$5:$B$67,0)),0))</f>
        <v/>
      </c>
    </row>
    <row r="465">
      <c r="A465" s="7" t="n"/>
      <c r="B465" s="7" t="n"/>
      <c r="C465" s="7" t="n"/>
      <c r="D465" s="8">
        <f>IF(A465="","",IFERROR(SUMIFS(PRODUCCION!C:C,PRODUCCION!B:B,A465),0))</f>
        <v/>
      </c>
      <c r="E465" s="8">
        <f>IFERROR(C465*D465,0)</f>
        <v/>
      </c>
      <c r="F465" s="10">
        <f>IF(OR($A465="",$B465=""),"",IFERROR($C465*INDEX(INSUMOS!$K$5:$K$67,MATCH($B465,INSUMOS!$B$5:$B$67,0)),0))</f>
        <v/>
      </c>
    </row>
    <row r="466">
      <c r="A466" s="7" t="n"/>
      <c r="B466" s="7" t="n"/>
      <c r="C466" s="7" t="n"/>
      <c r="D466" s="8">
        <f>IF(A466="","",IFERROR(SUMIFS(PRODUCCION!C:C,PRODUCCION!B:B,A466),0))</f>
        <v/>
      </c>
      <c r="E466" s="8">
        <f>IFERROR(C466*D466,0)</f>
        <v/>
      </c>
      <c r="F466" s="10">
        <f>IF(OR($A466="",$B466=""),"",IFERROR($C466*INDEX(INSUMOS!$K$5:$K$67,MATCH($B466,INSUMOS!$B$5:$B$67,0)),0))</f>
        <v/>
      </c>
    </row>
    <row r="467">
      <c r="A467" s="7" t="n"/>
      <c r="B467" s="7" t="n"/>
      <c r="C467" s="7" t="n"/>
      <c r="D467" s="8">
        <f>IF(A467="","",IFERROR(SUMIFS(PRODUCCION!C:C,PRODUCCION!B:B,A467),0))</f>
        <v/>
      </c>
      <c r="E467" s="8">
        <f>IFERROR(C467*D467,0)</f>
        <v/>
      </c>
      <c r="F467" s="10">
        <f>IF(OR($A467="",$B467=""),"",IFERROR($C467*INDEX(INSUMOS!$K$5:$K$67,MATCH($B467,INSUMOS!$B$5:$B$67,0)),0))</f>
        <v/>
      </c>
    </row>
    <row r="468">
      <c r="A468" s="7" t="n"/>
      <c r="B468" s="7" t="n"/>
      <c r="C468" s="7" t="n"/>
      <c r="D468" s="8">
        <f>IF(A468="","",IFERROR(SUMIFS(PRODUCCION!C:C,PRODUCCION!B:B,A468),0))</f>
        <v/>
      </c>
      <c r="E468" s="8">
        <f>IFERROR(C468*D468,0)</f>
        <v/>
      </c>
      <c r="F468" s="10">
        <f>IF(OR($A468="",$B468=""),"",IFERROR($C468*INDEX(INSUMOS!$K$5:$K$67,MATCH($B468,INSUMOS!$B$5:$B$67,0)),0))</f>
        <v/>
      </c>
    </row>
    <row r="469">
      <c r="A469" s="7" t="n"/>
      <c r="B469" s="7" t="n"/>
      <c r="C469" s="7" t="n"/>
      <c r="D469" s="8">
        <f>IF(A469="","",IFERROR(SUMIFS(PRODUCCION!C:C,PRODUCCION!B:B,A469),0))</f>
        <v/>
      </c>
      <c r="E469" s="8">
        <f>IFERROR(C469*D469,0)</f>
        <v/>
      </c>
      <c r="F469" s="10">
        <f>IF(OR($A469="",$B469=""),"",IFERROR($C469*INDEX(INSUMOS!$K$5:$K$67,MATCH($B469,INSUMOS!$B$5:$B$67,0)),0))</f>
        <v/>
      </c>
    </row>
    <row r="470">
      <c r="A470" s="7" t="n"/>
      <c r="B470" s="7" t="n"/>
      <c r="C470" s="7" t="n"/>
      <c r="D470" s="8">
        <f>IF(A470="","",IFERROR(SUMIFS(PRODUCCION!C:C,PRODUCCION!B:B,A470),0))</f>
        <v/>
      </c>
      <c r="E470" s="8">
        <f>IFERROR(C470*D470,0)</f>
        <v/>
      </c>
      <c r="F470" s="10">
        <f>IF(OR($A470="",$B470=""),"",IFERROR($C470*INDEX(INSUMOS!$K$5:$K$67,MATCH($B470,INSUMOS!$B$5:$B$67,0)),0))</f>
        <v/>
      </c>
    </row>
    <row r="471">
      <c r="A471" s="7" t="n"/>
      <c r="B471" s="7" t="n"/>
      <c r="C471" s="7" t="n"/>
      <c r="D471" s="8">
        <f>IF(A471="","",IFERROR(SUMIFS(PRODUCCION!C:C,PRODUCCION!B:B,A471),0))</f>
        <v/>
      </c>
      <c r="E471" s="8">
        <f>IFERROR(C471*D471,0)</f>
        <v/>
      </c>
      <c r="F471" s="10">
        <f>IF(OR($A471="",$B471=""),"",IFERROR($C471*INDEX(INSUMOS!$K$5:$K$67,MATCH($B471,INSUMOS!$B$5:$B$67,0)),0))</f>
        <v/>
      </c>
    </row>
    <row r="472">
      <c r="A472" s="7" t="n"/>
      <c r="B472" s="7" t="n"/>
      <c r="C472" s="7" t="n"/>
      <c r="D472" s="8">
        <f>IF(A472="","",IFERROR(SUMIFS(PRODUCCION!C:C,PRODUCCION!B:B,A472),0))</f>
        <v/>
      </c>
      <c r="E472" s="8">
        <f>IFERROR(C472*D472,0)</f>
        <v/>
      </c>
      <c r="F472" s="10">
        <f>IF(OR($A472="",$B472=""),"",IFERROR($C472*INDEX(INSUMOS!$K$5:$K$67,MATCH($B472,INSUMOS!$B$5:$B$67,0)),0))</f>
        <v/>
      </c>
    </row>
    <row r="473">
      <c r="A473" s="7" t="n"/>
      <c r="B473" s="7" t="n"/>
      <c r="C473" s="7" t="n"/>
      <c r="D473" s="8">
        <f>IF(A473="","",IFERROR(SUMIFS(PRODUCCION!C:C,PRODUCCION!B:B,A473),0))</f>
        <v/>
      </c>
      <c r="E473" s="8">
        <f>IFERROR(C473*D473,0)</f>
        <v/>
      </c>
      <c r="F473" s="10">
        <f>IF(OR($A473="",$B473=""),"",IFERROR($C473*INDEX(INSUMOS!$K$5:$K$67,MATCH($B473,INSUMOS!$B$5:$B$67,0)),0))</f>
        <v/>
      </c>
    </row>
    <row r="474">
      <c r="A474" s="7" t="n"/>
      <c r="B474" s="7" t="n"/>
      <c r="C474" s="7" t="n"/>
      <c r="D474" s="8">
        <f>IF(A474="","",IFERROR(SUMIFS(PRODUCCION!C:C,PRODUCCION!B:B,A474),0))</f>
        <v/>
      </c>
      <c r="E474" s="8">
        <f>IFERROR(C474*D474,0)</f>
        <v/>
      </c>
      <c r="F474" s="10">
        <f>IF(OR($A474="",$B474=""),"",IFERROR($C474*INDEX(INSUMOS!$K$5:$K$67,MATCH($B474,INSUMOS!$B$5:$B$67,0)),0))</f>
        <v/>
      </c>
    </row>
    <row r="475">
      <c r="A475" s="7" t="n"/>
      <c r="B475" s="7" t="n"/>
      <c r="C475" s="7" t="n"/>
      <c r="D475" s="8">
        <f>IF(A475="","",IFERROR(SUMIFS(PRODUCCION!C:C,PRODUCCION!B:B,A475),0))</f>
        <v/>
      </c>
      <c r="E475" s="8">
        <f>IFERROR(C475*D475,0)</f>
        <v/>
      </c>
      <c r="F475" s="10">
        <f>IF(OR($A475="",$B475=""),"",IFERROR($C475*INDEX(INSUMOS!$K$5:$K$67,MATCH($B475,INSUMOS!$B$5:$B$67,0)),0))</f>
        <v/>
      </c>
    </row>
    <row r="476">
      <c r="A476" s="7" t="n"/>
      <c r="B476" s="7" t="n"/>
      <c r="C476" s="7" t="n"/>
      <c r="D476" s="8">
        <f>IF(A476="","",IFERROR(SUMIFS(PRODUCCION!C:C,PRODUCCION!B:B,A476),0))</f>
        <v/>
      </c>
      <c r="E476" s="8">
        <f>IFERROR(C476*D476,0)</f>
        <v/>
      </c>
      <c r="F476" s="10">
        <f>IF(OR($A476="",$B476=""),"",IFERROR($C476*INDEX(INSUMOS!$K$5:$K$67,MATCH($B476,INSUMOS!$B$5:$B$67,0)),0))</f>
        <v/>
      </c>
    </row>
    <row r="477">
      <c r="A477" s="7" t="n"/>
      <c r="B477" s="7" t="n"/>
      <c r="C477" s="7" t="n"/>
      <c r="D477" s="8">
        <f>IF(A477="","",IFERROR(SUMIFS(PRODUCCION!C:C,PRODUCCION!B:B,A477),0))</f>
        <v/>
      </c>
      <c r="E477" s="8">
        <f>IFERROR(C477*D477,0)</f>
        <v/>
      </c>
      <c r="F477" s="10">
        <f>IF(OR($A477="",$B477=""),"",IFERROR($C477*INDEX(INSUMOS!$K$5:$K$67,MATCH($B477,INSUMOS!$B$5:$B$67,0)),0))</f>
        <v/>
      </c>
    </row>
    <row r="478">
      <c r="A478" s="7" t="n"/>
      <c r="B478" s="7" t="n"/>
      <c r="C478" s="7" t="n"/>
      <c r="D478" s="8">
        <f>IF(A478="","",IFERROR(SUMIFS(PRODUCCION!C:C,PRODUCCION!B:B,A478),0))</f>
        <v/>
      </c>
      <c r="E478" s="8">
        <f>IFERROR(C478*D478,0)</f>
        <v/>
      </c>
      <c r="F478" s="10">
        <f>IF(OR($A478="",$B478=""),"",IFERROR($C478*INDEX(INSUMOS!$K$5:$K$67,MATCH($B478,INSUMOS!$B$5:$B$67,0)),0))</f>
        <v/>
      </c>
    </row>
    <row r="479">
      <c r="A479" s="7" t="n"/>
      <c r="B479" s="7" t="n"/>
      <c r="C479" s="7" t="n"/>
      <c r="D479" s="8">
        <f>IF(A479="","",IFERROR(SUMIFS(PRODUCCION!C:C,PRODUCCION!B:B,A479),0))</f>
        <v/>
      </c>
      <c r="E479" s="8">
        <f>IFERROR(C479*D479,0)</f>
        <v/>
      </c>
      <c r="F479" s="10">
        <f>IF(OR($A479="",$B479=""),"",IFERROR($C479*INDEX(INSUMOS!$K$5:$K$67,MATCH($B479,INSUMOS!$B$5:$B$67,0)),0))</f>
        <v/>
      </c>
    </row>
    <row r="480">
      <c r="A480" s="7" t="n"/>
      <c r="B480" s="7" t="n"/>
      <c r="C480" s="7" t="n"/>
      <c r="D480" s="8">
        <f>IF(A480="","",IFERROR(SUMIFS(PRODUCCION!C:C,PRODUCCION!B:B,A480),0))</f>
        <v/>
      </c>
      <c r="E480" s="8">
        <f>IFERROR(C480*D480,0)</f>
        <v/>
      </c>
      <c r="F480" s="10">
        <f>IF(OR($A480="",$B480=""),"",IFERROR($C480*INDEX(INSUMOS!$K$5:$K$67,MATCH($B480,INSUMOS!$B$5:$B$67,0)),0))</f>
        <v/>
      </c>
    </row>
    <row r="481">
      <c r="A481" s="7" t="n"/>
      <c r="B481" s="7" t="n"/>
      <c r="C481" s="7" t="n"/>
      <c r="D481" s="8">
        <f>IF(A481="","",IFERROR(SUMIFS(PRODUCCION!C:C,PRODUCCION!B:B,A481),0))</f>
        <v/>
      </c>
      <c r="E481" s="8">
        <f>IFERROR(C481*D481,0)</f>
        <v/>
      </c>
      <c r="F481" s="10">
        <f>IF(OR($A481="",$B481=""),"",IFERROR($C481*INDEX(INSUMOS!$K$5:$K$67,MATCH($B481,INSUMOS!$B$5:$B$67,0)),0))</f>
        <v/>
      </c>
    </row>
    <row r="482">
      <c r="A482" s="7" t="n"/>
      <c r="B482" s="7" t="n"/>
      <c r="C482" s="7" t="n"/>
      <c r="D482" s="8">
        <f>IF(A482="","",IFERROR(SUMIFS(PRODUCCION!C:C,PRODUCCION!B:B,A482),0))</f>
        <v/>
      </c>
      <c r="E482" s="8">
        <f>IFERROR(C482*D482,0)</f>
        <v/>
      </c>
      <c r="F482" s="10">
        <f>IF(OR($A482="",$B482=""),"",IFERROR($C482*INDEX(INSUMOS!$K$5:$K$67,MATCH($B482,INSUMOS!$B$5:$B$67,0)),0))</f>
        <v/>
      </c>
    </row>
    <row r="483">
      <c r="A483" s="7" t="n"/>
      <c r="B483" s="7" t="n"/>
      <c r="C483" s="7" t="n"/>
      <c r="D483" s="8">
        <f>IF(A483="","",IFERROR(SUMIFS(PRODUCCION!C:C,PRODUCCION!B:B,A483),0))</f>
        <v/>
      </c>
      <c r="E483" s="8">
        <f>IFERROR(C483*D483,0)</f>
        <v/>
      </c>
      <c r="F483" s="10">
        <f>IF(OR($A483="",$B483=""),"",IFERROR($C483*INDEX(INSUMOS!$K$5:$K$67,MATCH($B483,INSUMOS!$B$5:$B$67,0)),0))</f>
        <v/>
      </c>
    </row>
    <row r="484">
      <c r="A484" s="7" t="n"/>
      <c r="B484" s="7" t="n"/>
      <c r="C484" s="7" t="n"/>
      <c r="D484" s="8">
        <f>IF(A484="","",IFERROR(SUMIFS(PRODUCCION!C:C,PRODUCCION!B:B,A484),0))</f>
        <v/>
      </c>
      <c r="E484" s="8">
        <f>IFERROR(C484*D484,0)</f>
        <v/>
      </c>
      <c r="F484" s="10">
        <f>IF(OR($A484="",$B484=""),"",IFERROR($C484*INDEX(INSUMOS!$K$5:$K$67,MATCH($B484,INSUMOS!$B$5:$B$67,0)),0))</f>
        <v/>
      </c>
    </row>
    <row r="485">
      <c r="A485" s="7" t="n"/>
      <c r="B485" s="7" t="n"/>
      <c r="C485" s="7" t="n"/>
      <c r="D485" s="8">
        <f>IF(A485="","",IFERROR(SUMIFS(PRODUCCION!C:C,PRODUCCION!B:B,A485),0))</f>
        <v/>
      </c>
      <c r="E485" s="8">
        <f>IFERROR(C485*D485,0)</f>
        <v/>
      </c>
      <c r="F485" s="10">
        <f>IF(OR($A485="",$B485=""),"",IFERROR($C485*INDEX(INSUMOS!$K$5:$K$67,MATCH($B485,INSUMOS!$B$5:$B$67,0)),0))</f>
        <v/>
      </c>
    </row>
    <row r="486">
      <c r="A486" s="7" t="n"/>
      <c r="B486" s="7" t="n"/>
      <c r="C486" s="7" t="n"/>
      <c r="D486" s="8">
        <f>IF(A486="","",IFERROR(SUMIFS(PRODUCCION!C:C,PRODUCCION!B:B,A486),0))</f>
        <v/>
      </c>
      <c r="E486" s="8">
        <f>IFERROR(C486*D486,0)</f>
        <v/>
      </c>
      <c r="F486" s="10">
        <f>IF(OR($A486="",$B486=""),"",IFERROR($C486*INDEX(INSUMOS!$K$5:$K$67,MATCH($B486,INSUMOS!$B$5:$B$67,0)),0))</f>
        <v/>
      </c>
    </row>
    <row r="487">
      <c r="A487" s="7" t="n"/>
      <c r="B487" s="7" t="n"/>
      <c r="C487" s="7" t="n"/>
      <c r="D487" s="8">
        <f>IF(A487="","",IFERROR(SUMIFS(PRODUCCION!C:C,PRODUCCION!B:B,A487),0))</f>
        <v/>
      </c>
      <c r="E487" s="8">
        <f>IFERROR(C487*D487,0)</f>
        <v/>
      </c>
      <c r="F487" s="10">
        <f>IF(OR($A487="",$B487=""),"",IFERROR($C487*INDEX(INSUMOS!$K$5:$K$67,MATCH($B487,INSUMOS!$B$5:$B$67,0)),0))</f>
        <v/>
      </c>
    </row>
    <row r="488">
      <c r="A488" s="7" t="n"/>
      <c r="B488" s="7" t="n"/>
      <c r="C488" s="7" t="n"/>
      <c r="D488" s="8">
        <f>IF(A488="","",IFERROR(SUMIFS(PRODUCCION!C:C,PRODUCCION!B:B,A488),0))</f>
        <v/>
      </c>
      <c r="E488" s="8">
        <f>IFERROR(C488*D488,0)</f>
        <v/>
      </c>
      <c r="F488" s="10">
        <f>IF(OR($A488="",$B488=""),"",IFERROR($C488*INDEX(INSUMOS!$K$5:$K$67,MATCH($B488,INSUMOS!$B$5:$B$67,0)),0))</f>
        <v/>
      </c>
    </row>
    <row r="489">
      <c r="A489" s="7" t="n"/>
      <c r="B489" s="7" t="n"/>
      <c r="C489" s="7" t="n"/>
      <c r="D489" s="8">
        <f>IF(A489="","",IFERROR(SUMIFS(PRODUCCION!C:C,PRODUCCION!B:B,A489),0))</f>
        <v/>
      </c>
      <c r="E489" s="8">
        <f>IFERROR(C489*D489,0)</f>
        <v/>
      </c>
      <c r="F489" s="10">
        <f>IF(OR($A489="",$B489=""),"",IFERROR($C489*INDEX(INSUMOS!$K$5:$K$67,MATCH($B489,INSUMOS!$B$5:$B$67,0)),0))</f>
        <v/>
      </c>
    </row>
    <row r="490">
      <c r="A490" s="7" t="n"/>
      <c r="B490" s="7" t="n"/>
      <c r="C490" s="7" t="n"/>
      <c r="D490" s="8">
        <f>IF(A490="","",IFERROR(SUMIFS(PRODUCCION!C:C,PRODUCCION!B:B,A490),0))</f>
        <v/>
      </c>
      <c r="E490" s="8">
        <f>IFERROR(C490*D490,0)</f>
        <v/>
      </c>
      <c r="F490" s="10">
        <f>IF(OR($A490="",$B490=""),"",IFERROR($C490*INDEX(INSUMOS!$K$5:$K$67,MATCH($B490,INSUMOS!$B$5:$B$67,0)),0))</f>
        <v/>
      </c>
    </row>
    <row r="491">
      <c r="A491" s="7" t="n"/>
      <c r="B491" s="7" t="n"/>
      <c r="C491" s="7" t="n"/>
      <c r="D491" s="8">
        <f>IF(A491="","",IFERROR(SUMIFS(PRODUCCION!C:C,PRODUCCION!B:B,A491),0))</f>
        <v/>
      </c>
      <c r="E491" s="8">
        <f>IFERROR(C491*D491,0)</f>
        <v/>
      </c>
      <c r="F491" s="10">
        <f>IF(OR($A491="",$B491=""),"",IFERROR($C491*INDEX(INSUMOS!$K$5:$K$67,MATCH($B491,INSUMOS!$B$5:$B$67,0)),0))</f>
        <v/>
      </c>
    </row>
    <row r="492">
      <c r="A492" s="7" t="n"/>
      <c r="B492" s="7" t="n"/>
      <c r="C492" s="7" t="n"/>
      <c r="D492" s="8">
        <f>IF(A492="","",IFERROR(SUMIFS(PRODUCCION!C:C,PRODUCCION!B:B,A492),0))</f>
        <v/>
      </c>
      <c r="E492" s="8">
        <f>IFERROR(C492*D492,0)</f>
        <v/>
      </c>
      <c r="F492" s="10">
        <f>IF(OR($A492="",$B492=""),"",IFERROR($C492*INDEX(INSUMOS!$K$5:$K$67,MATCH($B492,INSUMOS!$B$5:$B$67,0)),0))</f>
        <v/>
      </c>
    </row>
    <row r="493">
      <c r="A493" s="7" t="n"/>
      <c r="B493" s="7" t="n"/>
      <c r="C493" s="7" t="n"/>
      <c r="D493" s="8">
        <f>IF(A493="","",IFERROR(SUMIFS(PRODUCCION!C:C,PRODUCCION!B:B,A493),0))</f>
        <v/>
      </c>
      <c r="E493" s="8">
        <f>IFERROR(C493*D493,0)</f>
        <v/>
      </c>
      <c r="F493" s="10">
        <f>IF(OR($A493="",$B493=""),"",IFERROR($C493*INDEX(INSUMOS!$K$5:$K$67,MATCH($B493,INSUMOS!$B$5:$B$67,0)),0))</f>
        <v/>
      </c>
    </row>
    <row r="494">
      <c r="A494" s="7" t="n"/>
      <c r="B494" s="7" t="n"/>
      <c r="C494" s="7" t="n"/>
      <c r="D494" s="8">
        <f>IF(A494="","",IFERROR(SUMIFS(PRODUCCION!C:C,PRODUCCION!B:B,A494),0))</f>
        <v/>
      </c>
      <c r="E494" s="8">
        <f>IFERROR(C494*D494,0)</f>
        <v/>
      </c>
      <c r="F494" s="10">
        <f>IF(OR($A494="",$B494=""),"",IFERROR($C494*INDEX(INSUMOS!$K$5:$K$67,MATCH($B494,INSUMOS!$B$5:$B$67,0)),0))</f>
        <v/>
      </c>
    </row>
    <row r="495">
      <c r="A495" s="7" t="n"/>
      <c r="B495" s="7" t="n"/>
      <c r="C495" s="7" t="n"/>
      <c r="D495" s="8">
        <f>IF(A495="","",IFERROR(SUMIFS(PRODUCCION!C:C,PRODUCCION!B:B,A495),0))</f>
        <v/>
      </c>
      <c r="E495" s="8">
        <f>IFERROR(C495*D495,0)</f>
        <v/>
      </c>
      <c r="F495" s="10">
        <f>IF(OR($A495="",$B495=""),"",IFERROR($C495*INDEX(INSUMOS!$K$5:$K$67,MATCH($B495,INSUMOS!$B$5:$B$67,0)),0))</f>
        <v/>
      </c>
    </row>
    <row r="496">
      <c r="A496" s="7" t="n"/>
      <c r="B496" s="7" t="n"/>
      <c r="C496" s="7" t="n"/>
      <c r="D496" s="8">
        <f>IF(A496="","",IFERROR(SUMIFS(PRODUCCION!C:C,PRODUCCION!B:B,A496),0))</f>
        <v/>
      </c>
      <c r="E496" s="8">
        <f>IFERROR(C496*D496,0)</f>
        <v/>
      </c>
      <c r="F496" s="10">
        <f>IF(OR($A496="",$B496=""),"",IFERROR($C496*INDEX(INSUMOS!$K$5:$K$67,MATCH($B496,INSUMOS!$B$5:$B$67,0)),0))</f>
        <v/>
      </c>
    </row>
    <row r="497">
      <c r="A497" s="7" t="n"/>
      <c r="B497" s="7" t="n"/>
      <c r="C497" s="7" t="n"/>
      <c r="D497" s="8">
        <f>IF(A497="","",IFERROR(SUMIFS(PRODUCCION!C:C,PRODUCCION!B:B,A497),0))</f>
        <v/>
      </c>
      <c r="E497" s="8">
        <f>IFERROR(C497*D497,0)</f>
        <v/>
      </c>
      <c r="F497" s="10">
        <f>IF(OR($A497="",$B497=""),"",IFERROR($C497*INDEX(INSUMOS!$K$5:$K$67,MATCH($B497,INSUMOS!$B$5:$B$67,0)),0))</f>
        <v/>
      </c>
    </row>
    <row r="498">
      <c r="A498" s="7" t="n"/>
      <c r="B498" s="7" t="n"/>
      <c r="C498" s="7" t="n"/>
      <c r="D498" s="8">
        <f>IF(A498="","",IFERROR(SUMIFS(PRODUCCION!C:C,PRODUCCION!B:B,A498),0))</f>
        <v/>
      </c>
      <c r="E498" s="8">
        <f>IFERROR(C498*D498,0)</f>
        <v/>
      </c>
      <c r="F498" s="10">
        <f>IF(OR($A498="",$B498=""),"",IFERROR($C498*INDEX(INSUMOS!$K$5:$K$67,MATCH($B498,INSUMOS!$B$5:$B$67,0)),0))</f>
        <v/>
      </c>
    </row>
    <row r="499">
      <c r="A499" s="7" t="n"/>
      <c r="B499" s="7" t="n"/>
      <c r="C499" s="7" t="n"/>
      <c r="D499" s="8">
        <f>IF(A499="","",IFERROR(SUMIFS(PRODUCCION!C:C,PRODUCCION!B:B,A499),0))</f>
        <v/>
      </c>
      <c r="E499" s="8">
        <f>IFERROR(C499*D499,0)</f>
        <v/>
      </c>
      <c r="F499" s="10">
        <f>IF(OR($A499="",$B499=""),"",IFERROR($C499*INDEX(INSUMOS!$K$5:$K$67,MATCH($B499,INSUMOS!$B$5:$B$67,0)),0))</f>
        <v/>
      </c>
    </row>
    <row r="500">
      <c r="A500" s="7" t="n"/>
      <c r="B500" s="7" t="n"/>
      <c r="C500" s="7" t="n"/>
      <c r="D500" s="8">
        <f>IF(A500="","",IFERROR(SUMIFS(PRODUCCION!C:C,PRODUCCION!B:B,A500),0))</f>
        <v/>
      </c>
      <c r="E500" s="8">
        <f>IFERROR(C500*D500,0)</f>
        <v/>
      </c>
      <c r="F500" s="10">
        <f>IF(OR($A500="",$B500=""),"",IFERROR($C500*INDEX(INSUMOS!$K$5:$K$67,MATCH($B500,INSUMOS!$B$5:$B$67,0)),0))</f>
        <v/>
      </c>
    </row>
    <row r="501">
      <c r="A501" s="7" t="n"/>
      <c r="B501" s="7" t="n"/>
      <c r="C501" s="7" t="n"/>
      <c r="D501" s="8">
        <f>IF(A501="","",IFERROR(SUMIFS(PRODUCCION!C:C,PRODUCCION!B:B,A501),0))</f>
        <v/>
      </c>
      <c r="E501" s="8">
        <f>IFERROR(C501*D501,0)</f>
        <v/>
      </c>
      <c r="F501" s="10">
        <f>IF(OR($A501="",$B501=""),"",IFERROR($C501*INDEX(INSUMOS!$K$5:$K$67,MATCH($B501,INSUMOS!$B$5:$B$67,0)),0))</f>
        <v/>
      </c>
    </row>
    <row r="502">
      <c r="A502" s="7" t="n"/>
      <c r="B502" s="7" t="n"/>
      <c r="C502" s="7" t="n"/>
      <c r="D502" s="8">
        <f>IF(A502="","",IFERROR(SUMIFS(PRODUCCION!C:C,PRODUCCION!B:B,A502),0))</f>
        <v/>
      </c>
      <c r="E502" s="8">
        <f>IFERROR(C502*D502,0)</f>
        <v/>
      </c>
      <c r="F502" s="10">
        <f>IF(OR($A502="",$B502=""),"",IFERROR($C502*INDEX(INSUMOS!$K$5:$K$67,MATCH($B502,INSUMOS!$B$5:$B$67,0)),0))</f>
        <v/>
      </c>
    </row>
    <row r="503">
      <c r="A503" s="7" t="n"/>
      <c r="B503" s="7" t="n"/>
      <c r="C503" s="7" t="n"/>
      <c r="D503" s="8">
        <f>IF(A503="","",IFERROR(SUMIFS(PRODUCCION!C:C,PRODUCCION!B:B,A503),0))</f>
        <v/>
      </c>
      <c r="E503" s="8">
        <f>IFERROR(C503*D503,0)</f>
        <v/>
      </c>
      <c r="F503" s="10">
        <f>IF(OR($A503="",$B503=""),"",IFERROR($C503*INDEX(INSUMOS!$K$5:$K$67,MATCH($B503,INSUMOS!$B$5:$B$67,0)),0))</f>
        <v/>
      </c>
    </row>
    <row r="504">
      <c r="A504" s="7" t="n"/>
      <c r="B504" s="7" t="n"/>
      <c r="C504" s="7" t="n"/>
      <c r="D504" s="8">
        <f>IF(A504="","",IFERROR(SUMIFS(PRODUCCION!C:C,PRODUCCION!B:B,A504),0))</f>
        <v/>
      </c>
      <c r="E504" s="8">
        <f>IFERROR(C504*D504,0)</f>
        <v/>
      </c>
      <c r="F504" s="10">
        <f>IF(OR($A504="",$B504=""),"",IFERROR($C504*INDEX(INSUMOS!$K$5:$K$67,MATCH($B504,INSUMOS!$B$5:$B$67,0)),0))</f>
        <v/>
      </c>
    </row>
  </sheetData>
  <mergeCells count="2">
    <mergeCell ref="A2:E2"/>
    <mergeCell ref="A1:E1"/>
  </mergeCells>
  <dataValidations count="2">
    <dataValidation sqref="A5:A504" showDropDown="0" showInputMessage="0" showErrorMessage="0" allowBlank="1" type="list">
      <formula1>ListaProductos</formula1>
    </dataValidation>
    <dataValidation sqref="B5:B504" showDropDown="0" showInputMessage="0" showErrorMessage="0" allowBlank="1" type="list">
      <formula1>ListaInsumos</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504"/>
  <sheetViews>
    <sheetView tabSelected="1" zoomScaleNormal="100" workbookViewId="0">
      <pane ySplit="4" topLeftCell="A5" activePane="bottomLeft" state="frozen"/>
      <selection pane="bottomLeft" activeCell="E6" sqref="E6"/>
    </sheetView>
  </sheetViews>
  <sheetFormatPr baseColWidth="10" defaultColWidth="8.7109375" defaultRowHeight="15"/>
  <cols>
    <col width="14" customWidth="1" min="1" max="1"/>
    <col width="40" customWidth="1" min="2" max="2"/>
    <col width="12" customWidth="1" min="3" max="3"/>
    <col width="16" customWidth="1" min="4" max="4"/>
    <col width="45" customWidth="1" min="5" max="5"/>
    <col width="12" customWidth="1" min="6" max="6"/>
  </cols>
  <sheetData>
    <row r="1" ht="27.75" customHeight="1">
      <c r="A1" s="14" t="inlineStr">
        <is>
          <t>🛒 COMPRAS - registro de entradas de insumo</t>
        </is>
      </c>
    </row>
    <row r="2">
      <c r="A2" s="15" t="inlineStr">
        <is>
          <t>Cada vez que compres, anotá acá (con el costo total). El stock sube solo y, si pagaste más caro que antes, el precio del insumo se actualiza solo (si baja, no se toca).</t>
        </is>
      </c>
    </row>
    <row r="4" ht="31.5" customHeight="1">
      <c r="A4" s="4" t="inlineStr">
        <is>
          <t>Fecha</t>
        </is>
      </c>
      <c r="B4" s="4" t="inlineStr">
        <is>
          <t>Insumo</t>
        </is>
      </c>
      <c r="C4" s="4" t="inlineStr">
        <is>
          <t>Cantidad</t>
        </is>
      </c>
      <c r="D4" s="4" t="inlineStr">
        <is>
          <t>Costo total
(opcional)</t>
        </is>
      </c>
      <c r="E4" s="4" t="inlineStr">
        <is>
          <t>Notas</t>
        </is>
      </c>
      <c r="F4" s="4" t="inlineStr">
        <is>
          <t>Precio
unitario</t>
        </is>
      </c>
    </row>
    <row r="5">
      <c r="A5" s="12" t="n"/>
      <c r="B5" s="7" t="n"/>
      <c r="C5" s="7" t="n"/>
      <c r="D5" s="9" t="n"/>
      <c r="E5" s="7" t="n"/>
      <c r="F5" s="10">
        <f>IF(OR(B5="",C5="",D5="",C5=0),"",D5/C5)</f>
        <v/>
      </c>
    </row>
    <row r="6">
      <c r="A6" s="12" t="n"/>
      <c r="B6" s="7" t="n"/>
      <c r="C6" s="7" t="n"/>
      <c r="D6" s="9" t="n"/>
      <c r="E6" s="7" t="n"/>
      <c r="F6" s="10">
        <f>IF(OR(B6="",C6="",D6="",C6=0),"",D6/C6)</f>
        <v/>
      </c>
    </row>
    <row r="7">
      <c r="A7" s="12" t="n"/>
      <c r="B7" s="7" t="n"/>
      <c r="C7" s="7" t="n"/>
      <c r="D7" s="9" t="n"/>
      <c r="E7" s="7" t="n"/>
      <c r="F7" s="10">
        <f>IF(OR(B7="",C7="",D7="",C7=0),"",D7/C7)</f>
        <v/>
      </c>
    </row>
    <row r="8">
      <c r="A8" s="12" t="n"/>
      <c r="B8" s="7" t="n"/>
      <c r="C8" s="7" t="n"/>
      <c r="D8" s="9" t="n"/>
      <c r="E8" s="7" t="n"/>
      <c r="F8" s="10">
        <f>IF(OR(B8="",C8="",D8="",C8=0),"",D8/C8)</f>
        <v/>
      </c>
    </row>
    <row r="9">
      <c r="A9" s="12" t="n"/>
      <c r="B9" s="7" t="n"/>
      <c r="C9" s="7" t="n"/>
      <c r="D9" s="9" t="n"/>
      <c r="E9" s="7" t="n"/>
      <c r="F9" s="10">
        <f>IF(OR(B9="",C9="",D9="",C9=0),"",D9/C9)</f>
        <v/>
      </c>
    </row>
    <row r="10">
      <c r="A10" s="12" t="n"/>
      <c r="B10" s="7" t="n"/>
      <c r="C10" s="7" t="n"/>
      <c r="D10" s="9" t="n"/>
      <c r="E10" s="7" t="n"/>
      <c r="F10" s="10">
        <f>IF(OR(B10="",C10="",D10="",C10=0),"",D10/C10)</f>
        <v/>
      </c>
    </row>
    <row r="11">
      <c r="A11" s="12" t="n"/>
      <c r="B11" s="7" t="n"/>
      <c r="C11" s="7" t="n"/>
      <c r="D11" s="9" t="n"/>
      <c r="E11" s="7" t="n"/>
      <c r="F11" s="10">
        <f>IF(OR(B11="",C11="",D11="",C11=0),"",D11/C11)</f>
        <v/>
      </c>
    </row>
    <row r="12">
      <c r="A12" s="12" t="n"/>
      <c r="B12" s="7" t="n"/>
      <c r="C12" s="7" t="n"/>
      <c r="D12" s="9" t="n"/>
      <c r="E12" s="7" t="n"/>
      <c r="F12" s="10">
        <f>IF(OR(B12="",C12="",D12="",C12=0),"",D12/C12)</f>
        <v/>
      </c>
    </row>
    <row r="13">
      <c r="A13" s="12" t="n"/>
      <c r="B13" s="7" t="n"/>
      <c r="C13" s="7" t="n"/>
      <c r="D13" s="9" t="n"/>
      <c r="E13" s="7" t="n"/>
      <c r="F13" s="10">
        <f>IF(OR(B13="",C13="",D13="",C13=0),"",D13/C13)</f>
        <v/>
      </c>
    </row>
    <row r="14">
      <c r="A14" s="12" t="n"/>
      <c r="B14" s="7" t="n"/>
      <c r="C14" s="7" t="n"/>
      <c r="D14" s="9" t="n"/>
      <c r="E14" s="7" t="n"/>
      <c r="F14" s="10">
        <f>IF(OR(B14="",C14="",D14="",C14=0),"",D14/C14)</f>
        <v/>
      </c>
    </row>
    <row r="15">
      <c r="A15" s="12" t="n"/>
      <c r="B15" s="7" t="n"/>
      <c r="C15" s="7" t="n"/>
      <c r="D15" s="9" t="n"/>
      <c r="E15" s="7" t="n"/>
      <c r="F15" s="10">
        <f>IF(OR(B15="",C15="",D15="",C15=0),"",D15/C15)</f>
        <v/>
      </c>
    </row>
    <row r="16">
      <c r="A16" s="12" t="n"/>
      <c r="B16" s="7" t="n"/>
      <c r="C16" s="7" t="n"/>
      <c r="D16" s="9" t="n"/>
      <c r="E16" s="7" t="n"/>
      <c r="F16" s="10">
        <f>IF(OR(B16="",C16="",D16="",C16=0),"",D16/C16)</f>
        <v/>
      </c>
    </row>
    <row r="17">
      <c r="A17" s="12" t="n"/>
      <c r="B17" s="7" t="n"/>
      <c r="C17" s="7" t="n"/>
      <c r="D17" s="9" t="n"/>
      <c r="E17" s="7" t="n"/>
      <c r="F17" s="10">
        <f>IF(OR(B17="",C17="",D17="",C17=0),"",D17/C17)</f>
        <v/>
      </c>
    </row>
    <row r="18">
      <c r="A18" s="12" t="n"/>
      <c r="B18" s="7" t="n"/>
      <c r="C18" s="7" t="n"/>
      <c r="D18" s="9" t="n"/>
      <c r="E18" s="7" t="n"/>
      <c r="F18" s="10">
        <f>IF(OR(B18="",C18="",D18="",C18=0),"",D18/C18)</f>
        <v/>
      </c>
    </row>
    <row r="19">
      <c r="A19" s="12" t="n"/>
      <c r="B19" s="7" t="n"/>
      <c r="C19" s="7" t="n"/>
      <c r="D19" s="9" t="n"/>
      <c r="E19" s="7" t="n"/>
      <c r="F19" s="10">
        <f>IF(OR(B19="",C19="",D19="",C19=0),"",D19/C19)</f>
        <v/>
      </c>
    </row>
    <row r="20">
      <c r="A20" s="12" t="n"/>
      <c r="B20" s="7" t="n"/>
      <c r="C20" s="7" t="n"/>
      <c r="D20" s="9" t="n"/>
      <c r="E20" s="7" t="n"/>
      <c r="F20" s="10">
        <f>IF(OR(B20="",C20="",D20="",C20=0),"",D20/C20)</f>
        <v/>
      </c>
    </row>
    <row r="21">
      <c r="A21" s="12" t="n"/>
      <c r="B21" s="7" t="n"/>
      <c r="C21" s="7" t="n"/>
      <c r="D21" s="9" t="n"/>
      <c r="E21" s="7" t="n"/>
      <c r="F21" s="10">
        <f>IF(OR(B21="",C21="",D21="",C21=0),"",D21/C21)</f>
        <v/>
      </c>
    </row>
    <row r="22">
      <c r="A22" s="12" t="n"/>
      <c r="B22" s="7" t="n"/>
      <c r="C22" s="7" t="n"/>
      <c r="D22" s="9" t="n"/>
      <c r="E22" s="7" t="n"/>
      <c r="F22" s="10">
        <f>IF(OR(B22="",C22="",D22="",C22=0),"",D22/C22)</f>
        <v/>
      </c>
    </row>
    <row r="23">
      <c r="A23" s="12" t="n"/>
      <c r="B23" s="7" t="n"/>
      <c r="C23" s="7" t="n"/>
      <c r="D23" s="9" t="n"/>
      <c r="E23" s="7" t="n"/>
      <c r="F23" s="10">
        <f>IF(OR(B23="",C23="",D23="",C23=0),"",D23/C23)</f>
        <v/>
      </c>
    </row>
    <row r="24">
      <c r="A24" s="12" t="n"/>
      <c r="B24" s="7" t="n"/>
      <c r="C24" s="7" t="n"/>
      <c r="D24" s="9" t="n"/>
      <c r="E24" s="7" t="n"/>
      <c r="F24" s="10">
        <f>IF(OR(B24="",C24="",D24="",C24=0),"",D24/C24)</f>
        <v/>
      </c>
    </row>
    <row r="25">
      <c r="A25" s="12" t="n"/>
      <c r="B25" s="7" t="n"/>
      <c r="C25" s="7" t="n"/>
      <c r="D25" s="9" t="n"/>
      <c r="E25" s="7" t="n"/>
      <c r="F25" s="10">
        <f>IF(OR(B25="",C25="",D25="",C25=0),"",D25/C25)</f>
        <v/>
      </c>
    </row>
    <row r="26">
      <c r="A26" s="12" t="n"/>
      <c r="B26" s="7" t="n"/>
      <c r="C26" s="7" t="n"/>
      <c r="D26" s="9" t="n"/>
      <c r="E26" s="7" t="n"/>
      <c r="F26" s="10">
        <f>IF(OR(B26="",C26="",D26="",C26=0),"",D26/C26)</f>
        <v/>
      </c>
    </row>
    <row r="27">
      <c r="A27" s="12" t="n"/>
      <c r="B27" s="7" t="n"/>
      <c r="C27" s="7" t="n"/>
      <c r="D27" s="9" t="n"/>
      <c r="E27" s="7" t="n"/>
      <c r="F27" s="10">
        <f>IF(OR(B27="",C27="",D27="",C27=0),"",D27/C27)</f>
        <v/>
      </c>
    </row>
    <row r="28">
      <c r="A28" s="12" t="n"/>
      <c r="B28" s="7" t="n"/>
      <c r="C28" s="7" t="n"/>
      <c r="D28" s="9" t="n"/>
      <c r="E28" s="7" t="n"/>
      <c r="F28" s="10">
        <f>IF(OR(B28="",C28="",D28="",C28=0),"",D28/C28)</f>
        <v/>
      </c>
    </row>
    <row r="29">
      <c r="A29" s="12" t="n"/>
      <c r="B29" s="7" t="n"/>
      <c r="C29" s="7" t="n"/>
      <c r="D29" s="9" t="n"/>
      <c r="E29" s="7" t="n"/>
      <c r="F29" s="10">
        <f>IF(OR(B29="",C29="",D29="",C29=0),"",D29/C29)</f>
        <v/>
      </c>
    </row>
    <row r="30">
      <c r="A30" s="12" t="n"/>
      <c r="B30" s="7" t="n"/>
      <c r="C30" s="7" t="n"/>
      <c r="D30" s="9" t="n"/>
      <c r="E30" s="7" t="n"/>
      <c r="F30" s="10">
        <f>IF(OR(B30="",C30="",D30="",C30=0),"",D30/C30)</f>
        <v/>
      </c>
    </row>
    <row r="31">
      <c r="A31" s="12" t="n"/>
      <c r="B31" s="7" t="n"/>
      <c r="C31" s="7" t="n"/>
      <c r="D31" s="9" t="n"/>
      <c r="E31" s="7" t="n"/>
      <c r="F31" s="10">
        <f>IF(OR(B31="",C31="",D31="",C31=0),"",D31/C31)</f>
        <v/>
      </c>
    </row>
    <row r="32">
      <c r="A32" s="12" t="n"/>
      <c r="B32" s="7" t="n"/>
      <c r="C32" s="7" t="n"/>
      <c r="D32" s="9" t="n"/>
      <c r="E32" s="7" t="n"/>
      <c r="F32" s="10">
        <f>IF(OR(B32="",C32="",D32="",C32=0),"",D32/C32)</f>
        <v/>
      </c>
    </row>
    <row r="33">
      <c r="A33" s="12" t="n"/>
      <c r="B33" s="7" t="n"/>
      <c r="C33" s="7" t="n"/>
      <c r="D33" s="9" t="n"/>
      <c r="E33" s="7" t="n"/>
      <c r="F33" s="10">
        <f>IF(OR(B33="",C33="",D33="",C33=0),"",D33/C33)</f>
        <v/>
      </c>
    </row>
    <row r="34">
      <c r="A34" s="12" t="n"/>
      <c r="B34" s="7" t="n"/>
      <c r="C34" s="7" t="n"/>
      <c r="D34" s="9" t="n"/>
      <c r="E34" s="7" t="n"/>
      <c r="F34" s="10">
        <f>IF(OR(B34="",C34="",D34="",C34=0),"",D34/C34)</f>
        <v/>
      </c>
    </row>
    <row r="35">
      <c r="A35" s="12" t="n"/>
      <c r="B35" s="7" t="n"/>
      <c r="C35" s="7" t="n"/>
      <c r="D35" s="9" t="n"/>
      <c r="E35" s="7" t="n"/>
      <c r="F35" s="10">
        <f>IF(OR(B35="",C35="",D35="",C35=0),"",D35/C35)</f>
        <v/>
      </c>
    </row>
    <row r="36">
      <c r="A36" s="12" t="n"/>
      <c r="B36" s="7" t="n"/>
      <c r="C36" s="7" t="n"/>
      <c r="D36" s="9" t="n"/>
      <c r="E36" s="7" t="n"/>
      <c r="F36" s="10">
        <f>IF(OR(B36="",C36="",D36="",C36=0),"",D36/C36)</f>
        <v/>
      </c>
    </row>
    <row r="37">
      <c r="A37" s="12" t="n"/>
      <c r="B37" s="7" t="n"/>
      <c r="C37" s="7" t="n"/>
      <c r="D37" s="9" t="n"/>
      <c r="E37" s="7" t="n"/>
      <c r="F37" s="10">
        <f>IF(OR(B37="",C37="",D37="",C37=0),"",D37/C37)</f>
        <v/>
      </c>
    </row>
    <row r="38">
      <c r="A38" s="12" t="n"/>
      <c r="B38" s="7" t="n"/>
      <c r="C38" s="7" t="n"/>
      <c r="D38" s="9" t="n"/>
      <c r="E38" s="7" t="n"/>
      <c r="F38" s="10">
        <f>IF(OR(B38="",C38="",D38="",C38=0),"",D38/C38)</f>
        <v/>
      </c>
    </row>
    <row r="39">
      <c r="A39" s="12" t="n"/>
      <c r="B39" s="7" t="n"/>
      <c r="C39" s="7" t="n"/>
      <c r="D39" s="9" t="n"/>
      <c r="E39" s="7" t="n"/>
      <c r="F39" s="10">
        <f>IF(OR(B39="",C39="",D39="",C39=0),"",D39/C39)</f>
        <v/>
      </c>
    </row>
    <row r="40">
      <c r="A40" s="12" t="n"/>
      <c r="B40" s="7" t="n"/>
      <c r="C40" s="7" t="n"/>
      <c r="D40" s="9" t="n"/>
      <c r="E40" s="7" t="n"/>
      <c r="F40" s="10">
        <f>IF(OR(B40="",C40="",D40="",C40=0),"",D40/C40)</f>
        <v/>
      </c>
    </row>
    <row r="41">
      <c r="A41" s="12" t="n"/>
      <c r="B41" s="7" t="n"/>
      <c r="C41" s="7" t="n"/>
      <c r="D41" s="9" t="n"/>
      <c r="E41" s="7" t="n"/>
      <c r="F41" s="10">
        <f>IF(OR(B41="",C41="",D41="",C41=0),"",D41/C41)</f>
        <v/>
      </c>
    </row>
    <row r="42">
      <c r="A42" s="12" t="n"/>
      <c r="B42" s="7" t="n"/>
      <c r="C42" s="7" t="n"/>
      <c r="D42" s="9" t="n"/>
      <c r="E42" s="7" t="n"/>
      <c r="F42" s="10">
        <f>IF(OR(B42="",C42="",D42="",C42=0),"",D42/C42)</f>
        <v/>
      </c>
    </row>
    <row r="43">
      <c r="A43" s="12" t="n"/>
      <c r="B43" s="7" t="n"/>
      <c r="C43" s="7" t="n"/>
      <c r="D43" s="9" t="n"/>
      <c r="E43" s="7" t="n"/>
      <c r="F43" s="10">
        <f>IF(OR(B43="",C43="",D43="",C43=0),"",D43/C43)</f>
        <v/>
      </c>
    </row>
    <row r="44">
      <c r="A44" s="12" t="n"/>
      <c r="B44" s="7" t="n"/>
      <c r="C44" s="7" t="n"/>
      <c r="D44" s="9" t="n"/>
      <c r="E44" s="7" t="n"/>
      <c r="F44" s="10">
        <f>IF(OR(B44="",C44="",D44="",C44=0),"",D44/C44)</f>
        <v/>
      </c>
    </row>
    <row r="45">
      <c r="A45" s="12" t="n"/>
      <c r="B45" s="7" t="n"/>
      <c r="C45" s="7" t="n"/>
      <c r="D45" s="9" t="n"/>
      <c r="E45" s="7" t="n"/>
      <c r="F45" s="10">
        <f>IF(OR(B45="",C45="",D45="",C45=0),"",D45/C45)</f>
        <v/>
      </c>
    </row>
    <row r="46">
      <c r="A46" s="12" t="n"/>
      <c r="B46" s="7" t="n"/>
      <c r="C46" s="7" t="n"/>
      <c r="D46" s="9" t="n"/>
      <c r="E46" s="7" t="n"/>
      <c r="F46" s="10">
        <f>IF(OR(B46="",C46="",D46="",C46=0),"",D46/C46)</f>
        <v/>
      </c>
    </row>
    <row r="47">
      <c r="A47" s="12" t="n"/>
      <c r="B47" s="7" t="n"/>
      <c r="C47" s="7" t="n"/>
      <c r="D47" s="9" t="n"/>
      <c r="E47" s="7" t="n"/>
      <c r="F47" s="10">
        <f>IF(OR(B47="",C47="",D47="",C47=0),"",D47/C47)</f>
        <v/>
      </c>
    </row>
    <row r="48">
      <c r="A48" s="12" t="n"/>
      <c r="B48" s="7" t="n"/>
      <c r="C48" s="7" t="n"/>
      <c r="D48" s="9" t="n"/>
      <c r="E48" s="7" t="n"/>
      <c r="F48" s="10">
        <f>IF(OR(B48="",C48="",D48="",C48=0),"",D48/C48)</f>
        <v/>
      </c>
    </row>
    <row r="49">
      <c r="A49" s="12" t="n"/>
      <c r="B49" s="7" t="n"/>
      <c r="C49" s="7" t="n"/>
      <c r="D49" s="9" t="n"/>
      <c r="E49" s="7" t="n"/>
      <c r="F49" s="10">
        <f>IF(OR(B49="",C49="",D49="",C49=0),"",D49/C49)</f>
        <v/>
      </c>
    </row>
    <row r="50">
      <c r="A50" s="12" t="n"/>
      <c r="B50" s="7" t="n"/>
      <c r="C50" s="7" t="n"/>
      <c r="D50" s="9" t="n"/>
      <c r="E50" s="7" t="n"/>
      <c r="F50" s="10">
        <f>IF(OR(B50="",C50="",D50="",C50=0),"",D50/C50)</f>
        <v/>
      </c>
    </row>
    <row r="51">
      <c r="A51" s="12" t="n"/>
      <c r="B51" s="7" t="n"/>
      <c r="C51" s="7" t="n"/>
      <c r="D51" s="9" t="n"/>
      <c r="E51" s="7" t="n"/>
      <c r="F51" s="10">
        <f>IF(OR(B51="",C51="",D51="",C51=0),"",D51/C51)</f>
        <v/>
      </c>
    </row>
    <row r="52">
      <c r="A52" s="12" t="n"/>
      <c r="B52" s="7" t="n"/>
      <c r="C52" s="7" t="n"/>
      <c r="D52" s="9" t="n"/>
      <c r="E52" s="7" t="n"/>
      <c r="F52" s="10">
        <f>IF(OR(B52="",C52="",D52="",C52=0),"",D52/C52)</f>
        <v/>
      </c>
    </row>
    <row r="53">
      <c r="A53" s="12" t="n"/>
      <c r="B53" s="7" t="n"/>
      <c r="C53" s="7" t="n"/>
      <c r="D53" s="9" t="n"/>
      <c r="E53" s="7" t="n"/>
      <c r="F53" s="10">
        <f>IF(OR(B53="",C53="",D53="",C53=0),"",D53/C53)</f>
        <v/>
      </c>
    </row>
    <row r="54">
      <c r="A54" s="12" t="n"/>
      <c r="B54" s="7" t="n"/>
      <c r="C54" s="7" t="n"/>
      <c r="D54" s="9" t="n"/>
      <c r="E54" s="7" t="n"/>
      <c r="F54" s="10">
        <f>IF(OR(B54="",C54="",D54="",C54=0),"",D54/C54)</f>
        <v/>
      </c>
    </row>
    <row r="55">
      <c r="A55" s="12" t="n"/>
      <c r="B55" s="7" t="n"/>
      <c r="C55" s="7" t="n"/>
      <c r="D55" s="9" t="n"/>
      <c r="E55" s="7" t="n"/>
      <c r="F55" s="10">
        <f>IF(OR(B55="",C55="",D55="",C55=0),"",D55/C55)</f>
        <v/>
      </c>
    </row>
    <row r="56">
      <c r="A56" s="12" t="n"/>
      <c r="B56" s="7" t="n"/>
      <c r="C56" s="7" t="n"/>
      <c r="D56" s="9" t="n"/>
      <c r="E56" s="7" t="n"/>
      <c r="F56" s="10">
        <f>IF(OR(B56="",C56="",D56="",C56=0),"",D56/C56)</f>
        <v/>
      </c>
    </row>
    <row r="57">
      <c r="A57" s="12" t="n"/>
      <c r="B57" s="7" t="n"/>
      <c r="C57" s="7" t="n"/>
      <c r="D57" s="9" t="n"/>
      <c r="E57" s="7" t="n"/>
      <c r="F57" s="10">
        <f>IF(OR(B57="",C57="",D57="",C57=0),"",D57/C57)</f>
        <v/>
      </c>
    </row>
    <row r="58">
      <c r="A58" s="12" t="n"/>
      <c r="B58" s="7" t="n"/>
      <c r="C58" s="7" t="n"/>
      <c r="D58" s="9" t="n"/>
      <c r="E58" s="7" t="n"/>
      <c r="F58" s="10">
        <f>IF(OR(B58="",C58="",D58="",C58=0),"",D58/C58)</f>
        <v/>
      </c>
    </row>
    <row r="59">
      <c r="A59" s="12" t="n"/>
      <c r="B59" s="7" t="n"/>
      <c r="C59" s="7" t="n"/>
      <c r="D59" s="9" t="n"/>
      <c r="E59" s="7" t="n"/>
      <c r="F59" s="10">
        <f>IF(OR(B59="",C59="",D59="",C59=0),"",D59/C59)</f>
        <v/>
      </c>
    </row>
    <row r="60">
      <c r="A60" s="12" t="n"/>
      <c r="B60" s="7" t="n"/>
      <c r="C60" s="7" t="n"/>
      <c r="D60" s="9" t="n"/>
      <c r="E60" s="7" t="n"/>
      <c r="F60" s="10">
        <f>IF(OR(B60="",C60="",D60="",C60=0),"",D60/C60)</f>
        <v/>
      </c>
    </row>
    <row r="61">
      <c r="A61" s="12" t="n"/>
      <c r="B61" s="7" t="n"/>
      <c r="C61" s="7" t="n"/>
      <c r="D61" s="9" t="n"/>
      <c r="E61" s="7" t="n"/>
      <c r="F61" s="10">
        <f>IF(OR(B61="",C61="",D61="",C61=0),"",D61/C61)</f>
        <v/>
      </c>
    </row>
    <row r="62">
      <c r="A62" s="12" t="n"/>
      <c r="B62" s="7" t="n"/>
      <c r="C62" s="7" t="n"/>
      <c r="D62" s="9" t="n"/>
      <c r="E62" s="7" t="n"/>
      <c r="F62" s="10">
        <f>IF(OR(B62="",C62="",D62="",C62=0),"",D62/C62)</f>
        <v/>
      </c>
    </row>
    <row r="63">
      <c r="A63" s="12" t="n"/>
      <c r="B63" s="7" t="n"/>
      <c r="C63" s="7" t="n"/>
      <c r="D63" s="9" t="n"/>
      <c r="E63" s="7" t="n"/>
      <c r="F63" s="10">
        <f>IF(OR(B63="",C63="",D63="",C63=0),"",D63/C63)</f>
        <v/>
      </c>
    </row>
    <row r="64">
      <c r="A64" s="12" t="n"/>
      <c r="B64" s="7" t="n"/>
      <c r="C64" s="7" t="n"/>
      <c r="D64" s="9" t="n"/>
      <c r="E64" s="7" t="n"/>
      <c r="F64" s="10">
        <f>IF(OR(B64="",C64="",D64="",C64=0),"",D64/C64)</f>
        <v/>
      </c>
    </row>
    <row r="65">
      <c r="A65" s="12" t="n"/>
      <c r="B65" s="7" t="n"/>
      <c r="C65" s="7" t="n"/>
      <c r="D65" s="9" t="n"/>
      <c r="E65" s="7" t="n"/>
      <c r="F65" s="10">
        <f>IF(OR(B65="",C65="",D65="",C65=0),"",D65/C65)</f>
        <v/>
      </c>
    </row>
    <row r="66">
      <c r="A66" s="12" t="n"/>
      <c r="B66" s="7" t="n"/>
      <c r="C66" s="7" t="n"/>
      <c r="D66" s="9" t="n"/>
      <c r="E66" s="7" t="n"/>
      <c r="F66" s="10">
        <f>IF(OR(B66="",C66="",D66="",C66=0),"",D66/C66)</f>
        <v/>
      </c>
    </row>
    <row r="67">
      <c r="A67" s="12" t="n"/>
      <c r="B67" s="7" t="n"/>
      <c r="C67" s="7" t="n"/>
      <c r="D67" s="9" t="n"/>
      <c r="E67" s="7" t="n"/>
      <c r="F67" s="10">
        <f>IF(OR(B67="",C67="",D67="",C67=0),"",D67/C67)</f>
        <v/>
      </c>
    </row>
    <row r="68">
      <c r="A68" s="12" t="n"/>
      <c r="B68" s="7" t="n"/>
      <c r="C68" s="7" t="n"/>
      <c r="D68" s="9" t="n"/>
      <c r="E68" s="7" t="n"/>
      <c r="F68" s="10">
        <f>IF(OR(B68="",C68="",D68="",C68=0),"",D68/C68)</f>
        <v/>
      </c>
    </row>
    <row r="69">
      <c r="A69" s="12" t="n"/>
      <c r="B69" s="7" t="n"/>
      <c r="C69" s="7" t="n"/>
      <c r="D69" s="9" t="n"/>
      <c r="E69" s="7" t="n"/>
      <c r="F69" s="10">
        <f>IF(OR(B69="",C69="",D69="",C69=0),"",D69/C69)</f>
        <v/>
      </c>
    </row>
    <row r="70">
      <c r="A70" s="12" t="n"/>
      <c r="B70" s="7" t="n"/>
      <c r="C70" s="7" t="n"/>
      <c r="D70" s="9" t="n"/>
      <c r="E70" s="7" t="n"/>
      <c r="F70" s="10">
        <f>IF(OR(B70="",C70="",D70="",C70=0),"",D70/C70)</f>
        <v/>
      </c>
    </row>
    <row r="71">
      <c r="A71" s="12" t="n"/>
      <c r="B71" s="7" t="n"/>
      <c r="C71" s="7" t="n"/>
      <c r="D71" s="9" t="n"/>
      <c r="E71" s="7" t="n"/>
      <c r="F71" s="10">
        <f>IF(OR(B71="",C71="",D71="",C71=0),"",D71/C71)</f>
        <v/>
      </c>
    </row>
    <row r="72">
      <c r="A72" s="12" t="n"/>
      <c r="B72" s="7" t="n"/>
      <c r="C72" s="7" t="n"/>
      <c r="D72" s="9" t="n"/>
      <c r="E72" s="7" t="n"/>
      <c r="F72" s="10">
        <f>IF(OR(B72="",C72="",D72="",C72=0),"",D72/C72)</f>
        <v/>
      </c>
    </row>
    <row r="73">
      <c r="A73" s="12" t="n"/>
      <c r="B73" s="7" t="n"/>
      <c r="C73" s="7" t="n"/>
      <c r="D73" s="9" t="n"/>
      <c r="E73" s="7" t="n"/>
      <c r="F73" s="10">
        <f>IF(OR(B73="",C73="",D73="",C73=0),"",D73/C73)</f>
        <v/>
      </c>
    </row>
    <row r="74">
      <c r="A74" s="12" t="n"/>
      <c r="B74" s="7" t="n"/>
      <c r="C74" s="7" t="n"/>
      <c r="D74" s="9" t="n"/>
      <c r="E74" s="7" t="n"/>
      <c r="F74" s="10">
        <f>IF(OR(B74="",C74="",D74="",C74=0),"",D74/C74)</f>
        <v/>
      </c>
    </row>
    <row r="75">
      <c r="A75" s="12" t="n"/>
      <c r="B75" s="7" t="n"/>
      <c r="C75" s="7" t="n"/>
      <c r="D75" s="9" t="n"/>
      <c r="E75" s="7" t="n"/>
      <c r="F75" s="10">
        <f>IF(OR(B75="",C75="",D75="",C75=0),"",D75/C75)</f>
        <v/>
      </c>
    </row>
    <row r="76">
      <c r="A76" s="12" t="n"/>
      <c r="B76" s="7" t="n"/>
      <c r="C76" s="7" t="n"/>
      <c r="D76" s="9" t="n"/>
      <c r="E76" s="7" t="n"/>
      <c r="F76" s="10">
        <f>IF(OR(B76="",C76="",D76="",C76=0),"",D76/C76)</f>
        <v/>
      </c>
    </row>
    <row r="77">
      <c r="A77" s="12" t="n"/>
      <c r="B77" s="7" t="n"/>
      <c r="C77" s="7" t="n"/>
      <c r="D77" s="9" t="n"/>
      <c r="E77" s="7" t="n"/>
      <c r="F77" s="10">
        <f>IF(OR(B77="",C77="",D77="",C77=0),"",D77/C77)</f>
        <v/>
      </c>
    </row>
    <row r="78">
      <c r="A78" s="12" t="n"/>
      <c r="B78" s="7" t="n"/>
      <c r="C78" s="7" t="n"/>
      <c r="D78" s="9" t="n"/>
      <c r="E78" s="7" t="n"/>
      <c r="F78" s="10">
        <f>IF(OR(B78="",C78="",D78="",C78=0),"",D78/C78)</f>
        <v/>
      </c>
    </row>
    <row r="79">
      <c r="A79" s="12" t="n"/>
      <c r="B79" s="7" t="n"/>
      <c r="C79" s="7" t="n"/>
      <c r="D79" s="9" t="n"/>
      <c r="E79" s="7" t="n"/>
      <c r="F79" s="10">
        <f>IF(OR(B79="",C79="",D79="",C79=0),"",D79/C79)</f>
        <v/>
      </c>
    </row>
    <row r="80">
      <c r="A80" s="12" t="n"/>
      <c r="B80" s="7" t="n"/>
      <c r="C80" s="7" t="n"/>
      <c r="D80" s="9" t="n"/>
      <c r="E80" s="7" t="n"/>
      <c r="F80" s="10">
        <f>IF(OR(B80="",C80="",D80="",C80=0),"",D80/C80)</f>
        <v/>
      </c>
    </row>
    <row r="81">
      <c r="A81" s="12" t="n"/>
      <c r="B81" s="7" t="n"/>
      <c r="C81" s="7" t="n"/>
      <c r="D81" s="9" t="n"/>
      <c r="E81" s="7" t="n"/>
      <c r="F81" s="10">
        <f>IF(OR(B81="",C81="",D81="",C81=0),"",D81/C81)</f>
        <v/>
      </c>
    </row>
    <row r="82">
      <c r="A82" s="12" t="n"/>
      <c r="B82" s="7" t="n"/>
      <c r="C82" s="7" t="n"/>
      <c r="D82" s="9" t="n"/>
      <c r="E82" s="7" t="n"/>
      <c r="F82" s="10">
        <f>IF(OR(B82="",C82="",D82="",C82=0),"",D82/C82)</f>
        <v/>
      </c>
    </row>
    <row r="83">
      <c r="A83" s="12" t="n"/>
      <c r="B83" s="7" t="n"/>
      <c r="C83" s="7" t="n"/>
      <c r="D83" s="9" t="n"/>
      <c r="E83" s="7" t="n"/>
      <c r="F83" s="10">
        <f>IF(OR(B83="",C83="",D83="",C83=0),"",D83/C83)</f>
        <v/>
      </c>
    </row>
    <row r="84">
      <c r="A84" s="12" t="n"/>
      <c r="B84" s="7" t="n"/>
      <c r="C84" s="7" t="n"/>
      <c r="D84" s="9" t="n"/>
      <c r="E84" s="7" t="n"/>
      <c r="F84" s="10">
        <f>IF(OR(B84="",C84="",D84="",C84=0),"",D84/C84)</f>
        <v/>
      </c>
    </row>
    <row r="85">
      <c r="A85" s="12" t="n"/>
      <c r="B85" s="7" t="n"/>
      <c r="C85" s="7" t="n"/>
      <c r="D85" s="9" t="n"/>
      <c r="E85" s="7" t="n"/>
      <c r="F85" s="10">
        <f>IF(OR(B85="",C85="",D85="",C85=0),"",D85/C85)</f>
        <v/>
      </c>
    </row>
    <row r="86">
      <c r="A86" s="12" t="n"/>
      <c r="B86" s="7" t="n"/>
      <c r="C86" s="7" t="n"/>
      <c r="D86" s="9" t="n"/>
      <c r="E86" s="7" t="n"/>
      <c r="F86" s="10">
        <f>IF(OR(B86="",C86="",D86="",C86=0),"",D86/C86)</f>
        <v/>
      </c>
    </row>
    <row r="87">
      <c r="A87" s="12" t="n"/>
      <c r="B87" s="7" t="n"/>
      <c r="C87" s="7" t="n"/>
      <c r="D87" s="9" t="n"/>
      <c r="E87" s="7" t="n"/>
      <c r="F87" s="10">
        <f>IF(OR(B87="",C87="",D87="",C87=0),"",D87/C87)</f>
        <v/>
      </c>
    </row>
    <row r="88">
      <c r="A88" s="12" t="n"/>
      <c r="B88" s="7" t="n"/>
      <c r="C88" s="7" t="n"/>
      <c r="D88" s="9" t="n"/>
      <c r="E88" s="7" t="n"/>
      <c r="F88" s="10">
        <f>IF(OR(B88="",C88="",D88="",C88=0),"",D88/C88)</f>
        <v/>
      </c>
    </row>
    <row r="89">
      <c r="A89" s="12" t="n"/>
      <c r="B89" s="7" t="n"/>
      <c r="C89" s="7" t="n"/>
      <c r="D89" s="9" t="n"/>
      <c r="E89" s="7" t="n"/>
      <c r="F89" s="10">
        <f>IF(OR(B89="",C89="",D89="",C89=0),"",D89/C89)</f>
        <v/>
      </c>
    </row>
    <row r="90">
      <c r="A90" s="12" t="n"/>
      <c r="B90" s="7" t="n"/>
      <c r="C90" s="7" t="n"/>
      <c r="D90" s="9" t="n"/>
      <c r="E90" s="7" t="n"/>
      <c r="F90" s="10">
        <f>IF(OR(B90="",C90="",D90="",C90=0),"",D90/C90)</f>
        <v/>
      </c>
    </row>
    <row r="91">
      <c r="A91" s="12" t="n"/>
      <c r="B91" s="7" t="n"/>
      <c r="C91" s="7" t="n"/>
      <c r="D91" s="9" t="n"/>
      <c r="E91" s="7" t="n"/>
      <c r="F91" s="10">
        <f>IF(OR(B91="",C91="",D91="",C91=0),"",D91/C91)</f>
        <v/>
      </c>
    </row>
    <row r="92">
      <c r="A92" s="12" t="n"/>
      <c r="B92" s="7" t="n"/>
      <c r="C92" s="7" t="n"/>
      <c r="D92" s="9" t="n"/>
      <c r="E92" s="7" t="n"/>
      <c r="F92" s="10">
        <f>IF(OR(B92="",C92="",D92="",C92=0),"",D92/C92)</f>
        <v/>
      </c>
    </row>
    <row r="93">
      <c r="A93" s="12" t="n"/>
      <c r="B93" s="7" t="n"/>
      <c r="C93" s="7" t="n"/>
      <c r="D93" s="9" t="n"/>
      <c r="E93" s="7" t="n"/>
      <c r="F93" s="10">
        <f>IF(OR(B93="",C93="",D93="",C93=0),"",D93/C93)</f>
        <v/>
      </c>
    </row>
    <row r="94">
      <c r="A94" s="12" t="n"/>
      <c r="B94" s="7" t="n"/>
      <c r="C94" s="7" t="n"/>
      <c r="D94" s="9" t="n"/>
      <c r="E94" s="7" t="n"/>
      <c r="F94" s="10">
        <f>IF(OR(B94="",C94="",D94="",C94=0),"",D94/C94)</f>
        <v/>
      </c>
    </row>
    <row r="95">
      <c r="A95" s="12" t="n"/>
      <c r="B95" s="7" t="n"/>
      <c r="C95" s="7" t="n"/>
      <c r="D95" s="9" t="n"/>
      <c r="E95" s="7" t="n"/>
      <c r="F95" s="10">
        <f>IF(OR(B95="",C95="",D95="",C95=0),"",D95/C95)</f>
        <v/>
      </c>
    </row>
    <row r="96">
      <c r="A96" s="12" t="n"/>
      <c r="B96" s="7" t="n"/>
      <c r="C96" s="7" t="n"/>
      <c r="D96" s="9" t="n"/>
      <c r="E96" s="7" t="n"/>
      <c r="F96" s="10">
        <f>IF(OR(B96="",C96="",D96="",C96=0),"",D96/C96)</f>
        <v/>
      </c>
    </row>
    <row r="97">
      <c r="A97" s="12" t="n"/>
      <c r="B97" s="7" t="n"/>
      <c r="C97" s="7" t="n"/>
      <c r="D97" s="9" t="n"/>
      <c r="E97" s="7" t="n"/>
      <c r="F97" s="10">
        <f>IF(OR(B97="",C97="",D97="",C97=0),"",D97/C97)</f>
        <v/>
      </c>
    </row>
    <row r="98">
      <c r="A98" s="12" t="n"/>
      <c r="B98" s="7" t="n"/>
      <c r="C98" s="7" t="n"/>
      <c r="D98" s="9" t="n"/>
      <c r="E98" s="7" t="n"/>
      <c r="F98" s="10">
        <f>IF(OR(B98="",C98="",D98="",C98=0),"",D98/C98)</f>
        <v/>
      </c>
    </row>
    <row r="99">
      <c r="A99" s="12" t="n"/>
      <c r="B99" s="7" t="n"/>
      <c r="C99" s="7" t="n"/>
      <c r="D99" s="9" t="n"/>
      <c r="E99" s="7" t="n"/>
      <c r="F99" s="10">
        <f>IF(OR(B99="",C99="",D99="",C99=0),"",D99/C99)</f>
        <v/>
      </c>
    </row>
    <row r="100">
      <c r="A100" s="12" t="n"/>
      <c r="B100" s="7" t="n"/>
      <c r="C100" s="7" t="n"/>
      <c r="D100" s="9" t="n"/>
      <c r="E100" s="7" t="n"/>
      <c r="F100" s="10">
        <f>IF(OR(B100="",C100="",D100="",C100=0),"",D100/C100)</f>
        <v/>
      </c>
    </row>
    <row r="101">
      <c r="A101" s="12" t="n"/>
      <c r="B101" s="7" t="n"/>
      <c r="C101" s="7" t="n"/>
      <c r="D101" s="9" t="n"/>
      <c r="E101" s="7" t="n"/>
      <c r="F101" s="10">
        <f>IF(OR(B101="",C101="",D101="",C101=0),"",D101/C101)</f>
        <v/>
      </c>
    </row>
    <row r="102">
      <c r="A102" s="12" t="n"/>
      <c r="B102" s="7" t="n"/>
      <c r="C102" s="7" t="n"/>
      <c r="D102" s="9" t="n"/>
      <c r="E102" s="7" t="n"/>
      <c r="F102" s="10">
        <f>IF(OR(B102="",C102="",D102="",C102=0),"",D102/C102)</f>
        <v/>
      </c>
    </row>
    <row r="103">
      <c r="A103" s="12" t="n"/>
      <c r="B103" s="7" t="n"/>
      <c r="C103" s="7" t="n"/>
      <c r="D103" s="9" t="n"/>
      <c r="E103" s="7" t="n"/>
      <c r="F103" s="10">
        <f>IF(OR(B103="",C103="",D103="",C103=0),"",D103/C103)</f>
        <v/>
      </c>
    </row>
    <row r="104">
      <c r="A104" s="12" t="n"/>
      <c r="B104" s="7" t="n"/>
      <c r="C104" s="7" t="n"/>
      <c r="D104" s="9" t="n"/>
      <c r="E104" s="7" t="n"/>
      <c r="F104" s="10">
        <f>IF(OR(B104="",C104="",D104="",C104=0),"",D104/C104)</f>
        <v/>
      </c>
    </row>
    <row r="105">
      <c r="A105" s="12" t="n"/>
      <c r="B105" s="7" t="n"/>
      <c r="C105" s="7" t="n"/>
      <c r="D105" s="9" t="n"/>
      <c r="E105" s="7" t="n"/>
      <c r="F105" s="10">
        <f>IF(OR(B105="",C105="",D105="",C105=0),"",D105/C105)</f>
        <v/>
      </c>
    </row>
    <row r="106">
      <c r="A106" s="12" t="n"/>
      <c r="B106" s="7" t="n"/>
      <c r="C106" s="7" t="n"/>
      <c r="D106" s="9" t="n"/>
      <c r="E106" s="7" t="n"/>
      <c r="F106" s="10">
        <f>IF(OR(B106="",C106="",D106="",C106=0),"",D106/C106)</f>
        <v/>
      </c>
    </row>
    <row r="107">
      <c r="A107" s="12" t="n"/>
      <c r="B107" s="7" t="n"/>
      <c r="C107" s="7" t="n"/>
      <c r="D107" s="9" t="n"/>
      <c r="E107" s="7" t="n"/>
      <c r="F107" s="10">
        <f>IF(OR(B107="",C107="",D107="",C107=0),"",D107/C107)</f>
        <v/>
      </c>
    </row>
    <row r="108">
      <c r="A108" s="12" t="n"/>
      <c r="B108" s="7" t="n"/>
      <c r="C108" s="7" t="n"/>
      <c r="D108" s="9" t="n"/>
      <c r="E108" s="7" t="n"/>
      <c r="F108" s="10">
        <f>IF(OR(B108="",C108="",D108="",C108=0),"",D108/C108)</f>
        <v/>
      </c>
    </row>
    <row r="109">
      <c r="A109" s="12" t="n"/>
      <c r="B109" s="7" t="n"/>
      <c r="C109" s="7" t="n"/>
      <c r="D109" s="9" t="n"/>
      <c r="E109" s="7" t="n"/>
      <c r="F109" s="10">
        <f>IF(OR(B109="",C109="",D109="",C109=0),"",D109/C109)</f>
        <v/>
      </c>
    </row>
    <row r="110">
      <c r="A110" s="12" t="n"/>
      <c r="B110" s="7" t="n"/>
      <c r="C110" s="7" t="n"/>
      <c r="D110" s="9" t="n"/>
      <c r="E110" s="7" t="n"/>
      <c r="F110" s="10">
        <f>IF(OR(B110="",C110="",D110="",C110=0),"",D110/C110)</f>
        <v/>
      </c>
    </row>
    <row r="111">
      <c r="A111" s="12" t="n"/>
      <c r="B111" s="7" t="n"/>
      <c r="C111" s="7" t="n"/>
      <c r="D111" s="9" t="n"/>
      <c r="E111" s="7" t="n"/>
      <c r="F111" s="10">
        <f>IF(OR(B111="",C111="",D111="",C111=0),"",D111/C111)</f>
        <v/>
      </c>
    </row>
    <row r="112">
      <c r="A112" s="12" t="n"/>
      <c r="B112" s="7" t="n"/>
      <c r="C112" s="7" t="n"/>
      <c r="D112" s="9" t="n"/>
      <c r="E112" s="7" t="n"/>
      <c r="F112" s="10">
        <f>IF(OR(B112="",C112="",D112="",C112=0),"",D112/C112)</f>
        <v/>
      </c>
    </row>
    <row r="113">
      <c r="A113" s="12" t="n"/>
      <c r="B113" s="7" t="n"/>
      <c r="C113" s="7" t="n"/>
      <c r="D113" s="9" t="n"/>
      <c r="E113" s="7" t="n"/>
      <c r="F113" s="10">
        <f>IF(OR(B113="",C113="",D113="",C113=0),"",D113/C113)</f>
        <v/>
      </c>
    </row>
    <row r="114">
      <c r="A114" s="12" t="n"/>
      <c r="B114" s="7" t="n"/>
      <c r="C114" s="7" t="n"/>
      <c r="D114" s="9" t="n"/>
      <c r="E114" s="7" t="n"/>
      <c r="F114" s="10">
        <f>IF(OR(B114="",C114="",D114="",C114=0),"",D114/C114)</f>
        <v/>
      </c>
    </row>
    <row r="115">
      <c r="A115" s="12" t="n"/>
      <c r="B115" s="7" t="n"/>
      <c r="C115" s="7" t="n"/>
      <c r="D115" s="9" t="n"/>
      <c r="E115" s="7" t="n"/>
      <c r="F115" s="10">
        <f>IF(OR(B115="",C115="",D115="",C115=0),"",D115/C115)</f>
        <v/>
      </c>
    </row>
    <row r="116">
      <c r="A116" s="12" t="n"/>
      <c r="B116" s="7" t="n"/>
      <c r="C116" s="7" t="n"/>
      <c r="D116" s="9" t="n"/>
      <c r="E116" s="7" t="n"/>
      <c r="F116" s="10">
        <f>IF(OR(B116="",C116="",D116="",C116=0),"",D116/C116)</f>
        <v/>
      </c>
    </row>
    <row r="117">
      <c r="A117" s="12" t="n"/>
      <c r="B117" s="7" t="n"/>
      <c r="C117" s="7" t="n"/>
      <c r="D117" s="9" t="n"/>
      <c r="E117" s="7" t="n"/>
      <c r="F117" s="10">
        <f>IF(OR(B117="",C117="",D117="",C117=0),"",D117/C117)</f>
        <v/>
      </c>
    </row>
    <row r="118">
      <c r="A118" s="12" t="n"/>
      <c r="B118" s="7" t="n"/>
      <c r="C118" s="7" t="n"/>
      <c r="D118" s="9" t="n"/>
      <c r="E118" s="7" t="n"/>
      <c r="F118" s="10">
        <f>IF(OR(B118="",C118="",D118="",C118=0),"",D118/C118)</f>
        <v/>
      </c>
    </row>
    <row r="119">
      <c r="A119" s="12" t="n"/>
      <c r="B119" s="7" t="n"/>
      <c r="C119" s="7" t="n"/>
      <c r="D119" s="9" t="n"/>
      <c r="E119" s="7" t="n"/>
      <c r="F119" s="10">
        <f>IF(OR(B119="",C119="",D119="",C119=0),"",D119/C119)</f>
        <v/>
      </c>
    </row>
    <row r="120">
      <c r="A120" s="12" t="n"/>
      <c r="B120" s="7" t="n"/>
      <c r="C120" s="7" t="n"/>
      <c r="D120" s="9" t="n"/>
      <c r="E120" s="7" t="n"/>
      <c r="F120" s="10">
        <f>IF(OR(B120="",C120="",D120="",C120=0),"",D120/C120)</f>
        <v/>
      </c>
    </row>
    <row r="121">
      <c r="A121" s="12" t="n"/>
      <c r="B121" s="7" t="n"/>
      <c r="C121" s="7" t="n"/>
      <c r="D121" s="9" t="n"/>
      <c r="E121" s="7" t="n"/>
      <c r="F121" s="10">
        <f>IF(OR(B121="",C121="",D121="",C121=0),"",D121/C121)</f>
        <v/>
      </c>
    </row>
    <row r="122">
      <c r="A122" s="12" t="n"/>
      <c r="B122" s="7" t="n"/>
      <c r="C122" s="7" t="n"/>
      <c r="D122" s="9" t="n"/>
      <c r="E122" s="7" t="n"/>
      <c r="F122" s="10">
        <f>IF(OR(B122="",C122="",D122="",C122=0),"",D122/C122)</f>
        <v/>
      </c>
    </row>
    <row r="123">
      <c r="A123" s="12" t="n"/>
      <c r="B123" s="7" t="n"/>
      <c r="C123" s="7" t="n"/>
      <c r="D123" s="9" t="n"/>
      <c r="E123" s="7" t="n"/>
      <c r="F123" s="10">
        <f>IF(OR(B123="",C123="",D123="",C123=0),"",D123/C123)</f>
        <v/>
      </c>
    </row>
    <row r="124">
      <c r="A124" s="12" t="n"/>
      <c r="B124" s="7" t="n"/>
      <c r="C124" s="7" t="n"/>
      <c r="D124" s="9" t="n"/>
      <c r="E124" s="7" t="n"/>
      <c r="F124" s="10">
        <f>IF(OR(B124="",C124="",D124="",C124=0),"",D124/C124)</f>
        <v/>
      </c>
    </row>
    <row r="125">
      <c r="A125" s="12" t="n"/>
      <c r="B125" s="7" t="n"/>
      <c r="C125" s="7" t="n"/>
      <c r="D125" s="9" t="n"/>
      <c r="E125" s="7" t="n"/>
      <c r="F125" s="10">
        <f>IF(OR(B125="",C125="",D125="",C125=0),"",D125/C125)</f>
        <v/>
      </c>
    </row>
    <row r="126">
      <c r="A126" s="12" t="n"/>
      <c r="B126" s="7" t="n"/>
      <c r="C126" s="7" t="n"/>
      <c r="D126" s="9" t="n"/>
      <c r="E126" s="7" t="n"/>
      <c r="F126" s="10">
        <f>IF(OR(B126="",C126="",D126="",C126=0),"",D126/C126)</f>
        <v/>
      </c>
    </row>
    <row r="127">
      <c r="A127" s="12" t="n"/>
      <c r="B127" s="7" t="n"/>
      <c r="C127" s="7" t="n"/>
      <c r="D127" s="9" t="n"/>
      <c r="E127" s="7" t="n"/>
      <c r="F127" s="10">
        <f>IF(OR(B127="",C127="",D127="",C127=0),"",D127/C127)</f>
        <v/>
      </c>
    </row>
    <row r="128">
      <c r="A128" s="12" t="n"/>
      <c r="B128" s="7" t="n"/>
      <c r="C128" s="7" t="n"/>
      <c r="D128" s="9" t="n"/>
      <c r="E128" s="7" t="n"/>
      <c r="F128" s="10">
        <f>IF(OR(B128="",C128="",D128="",C128=0),"",D128/C128)</f>
        <v/>
      </c>
    </row>
    <row r="129">
      <c r="A129" s="12" t="n"/>
      <c r="B129" s="7" t="n"/>
      <c r="C129" s="7" t="n"/>
      <c r="D129" s="9" t="n"/>
      <c r="E129" s="7" t="n"/>
      <c r="F129" s="10">
        <f>IF(OR(B129="",C129="",D129="",C129=0),"",D129/C129)</f>
        <v/>
      </c>
    </row>
    <row r="130">
      <c r="A130" s="12" t="n"/>
      <c r="B130" s="7" t="n"/>
      <c r="C130" s="7" t="n"/>
      <c r="D130" s="9" t="n"/>
      <c r="E130" s="7" t="n"/>
      <c r="F130" s="10">
        <f>IF(OR(B130="",C130="",D130="",C130=0),"",D130/C130)</f>
        <v/>
      </c>
    </row>
    <row r="131">
      <c r="A131" s="12" t="n"/>
      <c r="B131" s="7" t="n"/>
      <c r="C131" s="7" t="n"/>
      <c r="D131" s="9" t="n"/>
      <c r="E131" s="7" t="n"/>
      <c r="F131" s="10">
        <f>IF(OR(B131="",C131="",D131="",C131=0),"",D131/C131)</f>
        <v/>
      </c>
    </row>
    <row r="132">
      <c r="A132" s="12" t="n"/>
      <c r="B132" s="7" t="n"/>
      <c r="C132" s="7" t="n"/>
      <c r="D132" s="9" t="n"/>
      <c r="E132" s="7" t="n"/>
      <c r="F132" s="10">
        <f>IF(OR(B132="",C132="",D132="",C132=0),"",D132/C132)</f>
        <v/>
      </c>
    </row>
    <row r="133">
      <c r="A133" s="12" t="n"/>
      <c r="B133" s="7" t="n"/>
      <c r="C133" s="7" t="n"/>
      <c r="D133" s="9" t="n"/>
      <c r="E133" s="7" t="n"/>
      <c r="F133" s="10">
        <f>IF(OR(B133="",C133="",D133="",C133=0),"",D133/C133)</f>
        <v/>
      </c>
    </row>
    <row r="134">
      <c r="A134" s="12" t="n"/>
      <c r="B134" s="7" t="n"/>
      <c r="C134" s="7" t="n"/>
      <c r="D134" s="9" t="n"/>
      <c r="E134" s="7" t="n"/>
      <c r="F134" s="10">
        <f>IF(OR(B134="",C134="",D134="",C134=0),"",D134/C134)</f>
        <v/>
      </c>
    </row>
    <row r="135">
      <c r="A135" s="12" t="n"/>
      <c r="B135" s="7" t="n"/>
      <c r="C135" s="7" t="n"/>
      <c r="D135" s="9" t="n"/>
      <c r="E135" s="7" t="n"/>
      <c r="F135" s="10">
        <f>IF(OR(B135="",C135="",D135="",C135=0),"",D135/C135)</f>
        <v/>
      </c>
    </row>
    <row r="136">
      <c r="A136" s="12" t="n"/>
      <c r="B136" s="7" t="n"/>
      <c r="C136" s="7" t="n"/>
      <c r="D136" s="9" t="n"/>
      <c r="E136" s="7" t="n"/>
      <c r="F136" s="10">
        <f>IF(OR(B136="",C136="",D136="",C136=0),"",D136/C136)</f>
        <v/>
      </c>
    </row>
    <row r="137">
      <c r="A137" s="12" t="n"/>
      <c r="B137" s="7" t="n"/>
      <c r="C137" s="7" t="n"/>
      <c r="D137" s="9" t="n"/>
      <c r="E137" s="7" t="n"/>
      <c r="F137" s="10">
        <f>IF(OR(B137="",C137="",D137="",C137=0),"",D137/C137)</f>
        <v/>
      </c>
    </row>
    <row r="138">
      <c r="A138" s="12" t="n"/>
      <c r="B138" s="7" t="n"/>
      <c r="C138" s="7" t="n"/>
      <c r="D138" s="9" t="n"/>
      <c r="E138" s="7" t="n"/>
      <c r="F138" s="10">
        <f>IF(OR(B138="",C138="",D138="",C138=0),"",D138/C138)</f>
        <v/>
      </c>
    </row>
    <row r="139">
      <c r="A139" s="12" t="n"/>
      <c r="B139" s="7" t="n"/>
      <c r="C139" s="7" t="n"/>
      <c r="D139" s="9" t="n"/>
      <c r="E139" s="7" t="n"/>
      <c r="F139" s="10">
        <f>IF(OR(B139="",C139="",D139="",C139=0),"",D139/C139)</f>
        <v/>
      </c>
    </row>
    <row r="140">
      <c r="A140" s="12" t="n"/>
      <c r="B140" s="7" t="n"/>
      <c r="C140" s="7" t="n"/>
      <c r="D140" s="9" t="n"/>
      <c r="E140" s="7" t="n"/>
      <c r="F140" s="10">
        <f>IF(OR(B140="",C140="",D140="",C140=0),"",D140/C140)</f>
        <v/>
      </c>
    </row>
    <row r="141">
      <c r="A141" s="12" t="n"/>
      <c r="B141" s="7" t="n"/>
      <c r="C141" s="7" t="n"/>
      <c r="D141" s="9" t="n"/>
      <c r="E141" s="7" t="n"/>
      <c r="F141" s="10">
        <f>IF(OR(B141="",C141="",D141="",C141=0),"",D141/C141)</f>
        <v/>
      </c>
    </row>
    <row r="142">
      <c r="A142" s="12" t="n"/>
      <c r="B142" s="7" t="n"/>
      <c r="C142" s="7" t="n"/>
      <c r="D142" s="9" t="n"/>
      <c r="E142" s="7" t="n"/>
      <c r="F142" s="10">
        <f>IF(OR(B142="",C142="",D142="",C142=0),"",D142/C142)</f>
        <v/>
      </c>
    </row>
    <row r="143">
      <c r="A143" s="12" t="n"/>
      <c r="B143" s="7" t="n"/>
      <c r="C143" s="7" t="n"/>
      <c r="D143" s="9" t="n"/>
      <c r="E143" s="7" t="n"/>
      <c r="F143" s="10">
        <f>IF(OR(B143="",C143="",D143="",C143=0),"",D143/C143)</f>
        <v/>
      </c>
    </row>
    <row r="144">
      <c r="A144" s="12" t="n"/>
      <c r="B144" s="7" t="n"/>
      <c r="C144" s="7" t="n"/>
      <c r="D144" s="9" t="n"/>
      <c r="E144" s="7" t="n"/>
      <c r="F144" s="10">
        <f>IF(OR(B144="",C144="",D144="",C144=0),"",D144/C144)</f>
        <v/>
      </c>
    </row>
    <row r="145">
      <c r="A145" s="12" t="n"/>
      <c r="B145" s="7" t="n"/>
      <c r="C145" s="7" t="n"/>
      <c r="D145" s="9" t="n"/>
      <c r="E145" s="7" t="n"/>
      <c r="F145" s="10">
        <f>IF(OR(B145="",C145="",D145="",C145=0),"",D145/C145)</f>
        <v/>
      </c>
    </row>
    <row r="146">
      <c r="A146" s="12" t="n"/>
      <c r="B146" s="7" t="n"/>
      <c r="C146" s="7" t="n"/>
      <c r="D146" s="9" t="n"/>
      <c r="E146" s="7" t="n"/>
      <c r="F146" s="10">
        <f>IF(OR(B146="",C146="",D146="",C146=0),"",D146/C146)</f>
        <v/>
      </c>
    </row>
    <row r="147">
      <c r="A147" s="12" t="n"/>
      <c r="B147" s="7" t="n"/>
      <c r="C147" s="7" t="n"/>
      <c r="D147" s="9" t="n"/>
      <c r="E147" s="7" t="n"/>
      <c r="F147" s="10">
        <f>IF(OR(B147="",C147="",D147="",C147=0),"",D147/C147)</f>
        <v/>
      </c>
    </row>
    <row r="148">
      <c r="A148" s="12" t="n"/>
      <c r="B148" s="7" t="n"/>
      <c r="C148" s="7" t="n"/>
      <c r="D148" s="9" t="n"/>
      <c r="E148" s="7" t="n"/>
      <c r="F148" s="10">
        <f>IF(OR(B148="",C148="",D148="",C148=0),"",D148/C148)</f>
        <v/>
      </c>
    </row>
    <row r="149">
      <c r="A149" s="12" t="n"/>
      <c r="B149" s="7" t="n"/>
      <c r="C149" s="7" t="n"/>
      <c r="D149" s="9" t="n"/>
      <c r="E149" s="7" t="n"/>
      <c r="F149" s="10">
        <f>IF(OR(B149="",C149="",D149="",C149=0),"",D149/C149)</f>
        <v/>
      </c>
    </row>
    <row r="150">
      <c r="A150" s="12" t="n"/>
      <c r="B150" s="7" t="n"/>
      <c r="C150" s="7" t="n"/>
      <c r="D150" s="9" t="n"/>
      <c r="E150" s="7" t="n"/>
      <c r="F150" s="10">
        <f>IF(OR(B150="",C150="",D150="",C150=0),"",D150/C150)</f>
        <v/>
      </c>
    </row>
    <row r="151">
      <c r="A151" s="12" t="n"/>
      <c r="B151" s="7" t="n"/>
      <c r="C151" s="7" t="n"/>
      <c r="D151" s="9" t="n"/>
      <c r="E151" s="7" t="n"/>
      <c r="F151" s="10">
        <f>IF(OR(B151="",C151="",D151="",C151=0),"",D151/C151)</f>
        <v/>
      </c>
    </row>
    <row r="152">
      <c r="A152" s="12" t="n"/>
      <c r="B152" s="7" t="n"/>
      <c r="C152" s="7" t="n"/>
      <c r="D152" s="9" t="n"/>
      <c r="E152" s="7" t="n"/>
      <c r="F152" s="10">
        <f>IF(OR(B152="",C152="",D152="",C152=0),"",D152/C152)</f>
        <v/>
      </c>
    </row>
    <row r="153">
      <c r="A153" s="12" t="n"/>
      <c r="B153" s="7" t="n"/>
      <c r="C153" s="7" t="n"/>
      <c r="D153" s="9" t="n"/>
      <c r="E153" s="7" t="n"/>
      <c r="F153" s="10">
        <f>IF(OR(B153="",C153="",D153="",C153=0),"",D153/C153)</f>
        <v/>
      </c>
    </row>
    <row r="154">
      <c r="A154" s="12" t="n"/>
      <c r="B154" s="7" t="n"/>
      <c r="C154" s="7" t="n"/>
      <c r="D154" s="9" t="n"/>
      <c r="E154" s="7" t="n"/>
      <c r="F154" s="10">
        <f>IF(OR(B154="",C154="",D154="",C154=0),"",D154/C154)</f>
        <v/>
      </c>
    </row>
    <row r="155">
      <c r="A155" s="12" t="n"/>
      <c r="B155" s="7" t="n"/>
      <c r="C155" s="7" t="n"/>
      <c r="D155" s="9" t="n"/>
      <c r="E155" s="7" t="n"/>
      <c r="F155" s="10">
        <f>IF(OR(B155="",C155="",D155="",C155=0),"",D155/C155)</f>
        <v/>
      </c>
    </row>
    <row r="156">
      <c r="A156" s="12" t="n"/>
      <c r="B156" s="7" t="n"/>
      <c r="C156" s="7" t="n"/>
      <c r="D156" s="9" t="n"/>
      <c r="E156" s="7" t="n"/>
      <c r="F156" s="10">
        <f>IF(OR(B156="",C156="",D156="",C156=0),"",D156/C156)</f>
        <v/>
      </c>
    </row>
    <row r="157">
      <c r="A157" s="12" t="n"/>
      <c r="B157" s="7" t="n"/>
      <c r="C157" s="7" t="n"/>
      <c r="D157" s="9" t="n"/>
      <c r="E157" s="7" t="n"/>
      <c r="F157" s="10">
        <f>IF(OR(B157="",C157="",D157="",C157=0),"",D157/C157)</f>
        <v/>
      </c>
    </row>
    <row r="158">
      <c r="A158" s="12" t="n"/>
      <c r="B158" s="7" t="n"/>
      <c r="C158" s="7" t="n"/>
      <c r="D158" s="9" t="n"/>
      <c r="E158" s="7" t="n"/>
      <c r="F158" s="10">
        <f>IF(OR(B158="",C158="",D158="",C158=0),"",D158/C158)</f>
        <v/>
      </c>
    </row>
    <row r="159">
      <c r="A159" s="12" t="n"/>
      <c r="B159" s="7" t="n"/>
      <c r="C159" s="7" t="n"/>
      <c r="D159" s="9" t="n"/>
      <c r="E159" s="7" t="n"/>
      <c r="F159" s="10">
        <f>IF(OR(B159="",C159="",D159="",C159=0),"",D159/C159)</f>
        <v/>
      </c>
    </row>
    <row r="160">
      <c r="A160" s="12" t="n"/>
      <c r="B160" s="7" t="n"/>
      <c r="C160" s="7" t="n"/>
      <c r="D160" s="9" t="n"/>
      <c r="E160" s="7" t="n"/>
      <c r="F160" s="10">
        <f>IF(OR(B160="",C160="",D160="",C160=0),"",D160/C160)</f>
        <v/>
      </c>
    </row>
    <row r="161">
      <c r="A161" s="12" t="n"/>
      <c r="B161" s="7" t="n"/>
      <c r="C161" s="7" t="n"/>
      <c r="D161" s="9" t="n"/>
      <c r="E161" s="7" t="n"/>
      <c r="F161" s="10">
        <f>IF(OR(B161="",C161="",D161="",C161=0),"",D161/C161)</f>
        <v/>
      </c>
    </row>
    <row r="162">
      <c r="A162" s="12" t="n"/>
      <c r="B162" s="7" t="n"/>
      <c r="C162" s="7" t="n"/>
      <c r="D162" s="9" t="n"/>
      <c r="E162" s="7" t="n"/>
      <c r="F162" s="10">
        <f>IF(OR(B162="",C162="",D162="",C162=0),"",D162/C162)</f>
        <v/>
      </c>
    </row>
    <row r="163">
      <c r="A163" s="12" t="n"/>
      <c r="B163" s="7" t="n"/>
      <c r="C163" s="7" t="n"/>
      <c r="D163" s="9" t="n"/>
      <c r="E163" s="7" t="n"/>
      <c r="F163" s="10">
        <f>IF(OR(B163="",C163="",D163="",C163=0),"",D163/C163)</f>
        <v/>
      </c>
    </row>
    <row r="164">
      <c r="A164" s="12" t="n"/>
      <c r="B164" s="7" t="n"/>
      <c r="C164" s="7" t="n"/>
      <c r="D164" s="9" t="n"/>
      <c r="E164" s="7" t="n"/>
      <c r="F164" s="10">
        <f>IF(OR(B164="",C164="",D164="",C164=0),"",D164/C164)</f>
        <v/>
      </c>
    </row>
    <row r="165">
      <c r="A165" s="12" t="n"/>
      <c r="B165" s="7" t="n"/>
      <c r="C165" s="7" t="n"/>
      <c r="D165" s="9" t="n"/>
      <c r="E165" s="7" t="n"/>
      <c r="F165" s="10">
        <f>IF(OR(B165="",C165="",D165="",C165=0),"",D165/C165)</f>
        <v/>
      </c>
    </row>
    <row r="166">
      <c r="A166" s="12" t="n"/>
      <c r="B166" s="7" t="n"/>
      <c r="C166" s="7" t="n"/>
      <c r="D166" s="9" t="n"/>
      <c r="E166" s="7" t="n"/>
      <c r="F166" s="10">
        <f>IF(OR(B166="",C166="",D166="",C166=0),"",D166/C166)</f>
        <v/>
      </c>
    </row>
    <row r="167">
      <c r="A167" s="12" t="n"/>
      <c r="B167" s="7" t="n"/>
      <c r="C167" s="7" t="n"/>
      <c r="D167" s="9" t="n"/>
      <c r="E167" s="7" t="n"/>
      <c r="F167" s="10">
        <f>IF(OR(B167="",C167="",D167="",C167=0),"",D167/C167)</f>
        <v/>
      </c>
    </row>
    <row r="168">
      <c r="A168" s="12" t="n"/>
      <c r="B168" s="7" t="n"/>
      <c r="C168" s="7" t="n"/>
      <c r="D168" s="9" t="n"/>
      <c r="E168" s="7" t="n"/>
      <c r="F168" s="10">
        <f>IF(OR(B168="",C168="",D168="",C168=0),"",D168/C168)</f>
        <v/>
      </c>
    </row>
    <row r="169">
      <c r="A169" s="12" t="n"/>
      <c r="B169" s="7" t="n"/>
      <c r="C169" s="7" t="n"/>
      <c r="D169" s="9" t="n"/>
      <c r="E169" s="7" t="n"/>
      <c r="F169" s="10">
        <f>IF(OR(B169="",C169="",D169="",C169=0),"",D169/C169)</f>
        <v/>
      </c>
    </row>
    <row r="170">
      <c r="A170" s="12" t="n"/>
      <c r="B170" s="7" t="n"/>
      <c r="C170" s="7" t="n"/>
      <c r="D170" s="9" t="n"/>
      <c r="E170" s="7" t="n"/>
      <c r="F170" s="10">
        <f>IF(OR(B170="",C170="",D170="",C170=0),"",D170/C170)</f>
        <v/>
      </c>
    </row>
    <row r="171">
      <c r="A171" s="12" t="n"/>
      <c r="B171" s="7" t="n"/>
      <c r="C171" s="7" t="n"/>
      <c r="D171" s="9" t="n"/>
      <c r="E171" s="7" t="n"/>
      <c r="F171" s="10">
        <f>IF(OR(B171="",C171="",D171="",C171=0),"",D171/C171)</f>
        <v/>
      </c>
    </row>
    <row r="172">
      <c r="A172" s="12" t="n"/>
      <c r="B172" s="7" t="n"/>
      <c r="C172" s="7" t="n"/>
      <c r="D172" s="9" t="n"/>
      <c r="E172" s="7" t="n"/>
      <c r="F172" s="10">
        <f>IF(OR(B172="",C172="",D172="",C172=0),"",D172/C172)</f>
        <v/>
      </c>
    </row>
    <row r="173">
      <c r="A173" s="12" t="n"/>
      <c r="B173" s="7" t="n"/>
      <c r="C173" s="7" t="n"/>
      <c r="D173" s="9" t="n"/>
      <c r="E173" s="7" t="n"/>
      <c r="F173" s="10">
        <f>IF(OR(B173="",C173="",D173="",C173=0),"",D173/C173)</f>
        <v/>
      </c>
    </row>
    <row r="174">
      <c r="A174" s="12" t="n"/>
      <c r="B174" s="7" t="n"/>
      <c r="C174" s="7" t="n"/>
      <c r="D174" s="9" t="n"/>
      <c r="E174" s="7" t="n"/>
      <c r="F174" s="10">
        <f>IF(OR(B174="",C174="",D174="",C174=0),"",D174/C174)</f>
        <v/>
      </c>
    </row>
    <row r="175">
      <c r="A175" s="12" t="n"/>
      <c r="B175" s="7" t="n"/>
      <c r="C175" s="7" t="n"/>
      <c r="D175" s="9" t="n"/>
      <c r="E175" s="7" t="n"/>
      <c r="F175" s="10">
        <f>IF(OR(B175="",C175="",D175="",C175=0),"",D175/C175)</f>
        <v/>
      </c>
    </row>
    <row r="176">
      <c r="A176" s="12" t="n"/>
      <c r="B176" s="7" t="n"/>
      <c r="C176" s="7" t="n"/>
      <c r="D176" s="9" t="n"/>
      <c r="E176" s="7" t="n"/>
      <c r="F176" s="10">
        <f>IF(OR(B176="",C176="",D176="",C176=0),"",D176/C176)</f>
        <v/>
      </c>
    </row>
    <row r="177">
      <c r="A177" s="12" t="n"/>
      <c r="B177" s="7" t="n"/>
      <c r="C177" s="7" t="n"/>
      <c r="D177" s="9" t="n"/>
      <c r="E177" s="7" t="n"/>
      <c r="F177" s="10">
        <f>IF(OR(B177="",C177="",D177="",C177=0),"",D177/C177)</f>
        <v/>
      </c>
    </row>
    <row r="178">
      <c r="A178" s="12" t="n"/>
      <c r="B178" s="7" t="n"/>
      <c r="C178" s="7" t="n"/>
      <c r="D178" s="9" t="n"/>
      <c r="E178" s="7" t="n"/>
      <c r="F178" s="10">
        <f>IF(OR(B178="",C178="",D178="",C178=0),"",D178/C178)</f>
        <v/>
      </c>
    </row>
    <row r="179">
      <c r="A179" s="12" t="n"/>
      <c r="B179" s="7" t="n"/>
      <c r="C179" s="7" t="n"/>
      <c r="D179" s="9" t="n"/>
      <c r="E179" s="7" t="n"/>
      <c r="F179" s="10">
        <f>IF(OR(B179="",C179="",D179="",C179=0),"",D179/C179)</f>
        <v/>
      </c>
    </row>
    <row r="180">
      <c r="A180" s="12" t="n"/>
      <c r="B180" s="7" t="n"/>
      <c r="C180" s="7" t="n"/>
      <c r="D180" s="9" t="n"/>
      <c r="E180" s="7" t="n"/>
      <c r="F180" s="10">
        <f>IF(OR(B180="",C180="",D180="",C180=0),"",D180/C180)</f>
        <v/>
      </c>
    </row>
    <row r="181">
      <c r="A181" s="12" t="n"/>
      <c r="B181" s="7" t="n"/>
      <c r="C181" s="7" t="n"/>
      <c r="D181" s="9" t="n"/>
      <c r="E181" s="7" t="n"/>
      <c r="F181" s="10">
        <f>IF(OR(B181="",C181="",D181="",C181=0),"",D181/C181)</f>
        <v/>
      </c>
    </row>
    <row r="182">
      <c r="A182" s="12" t="n"/>
      <c r="B182" s="7" t="n"/>
      <c r="C182" s="7" t="n"/>
      <c r="D182" s="9" t="n"/>
      <c r="E182" s="7" t="n"/>
      <c r="F182" s="10">
        <f>IF(OR(B182="",C182="",D182="",C182=0),"",D182/C182)</f>
        <v/>
      </c>
    </row>
    <row r="183">
      <c r="A183" s="12" t="n"/>
      <c r="B183" s="7" t="n"/>
      <c r="C183" s="7" t="n"/>
      <c r="D183" s="9" t="n"/>
      <c r="E183" s="7" t="n"/>
      <c r="F183" s="10">
        <f>IF(OR(B183="",C183="",D183="",C183=0),"",D183/C183)</f>
        <v/>
      </c>
    </row>
    <row r="184">
      <c r="A184" s="12" t="n"/>
      <c r="B184" s="7" t="n"/>
      <c r="C184" s="7" t="n"/>
      <c r="D184" s="9" t="n"/>
      <c r="E184" s="7" t="n"/>
      <c r="F184" s="10">
        <f>IF(OR(B184="",C184="",D184="",C184=0),"",D184/C184)</f>
        <v/>
      </c>
    </row>
    <row r="185">
      <c r="A185" s="12" t="n"/>
      <c r="B185" s="7" t="n"/>
      <c r="C185" s="7" t="n"/>
      <c r="D185" s="9" t="n"/>
      <c r="E185" s="7" t="n"/>
      <c r="F185" s="10">
        <f>IF(OR(B185="",C185="",D185="",C185=0),"",D185/C185)</f>
        <v/>
      </c>
    </row>
    <row r="186">
      <c r="A186" s="12" t="n"/>
      <c r="B186" s="7" t="n"/>
      <c r="C186" s="7" t="n"/>
      <c r="D186" s="9" t="n"/>
      <c r="E186" s="7" t="n"/>
      <c r="F186" s="10">
        <f>IF(OR(B186="",C186="",D186="",C186=0),"",D186/C186)</f>
        <v/>
      </c>
    </row>
    <row r="187">
      <c r="A187" s="12" t="n"/>
      <c r="B187" s="7" t="n"/>
      <c r="C187" s="7" t="n"/>
      <c r="D187" s="9" t="n"/>
      <c r="E187" s="7" t="n"/>
      <c r="F187" s="10">
        <f>IF(OR(B187="",C187="",D187="",C187=0),"",D187/C187)</f>
        <v/>
      </c>
    </row>
    <row r="188">
      <c r="A188" s="12" t="n"/>
      <c r="B188" s="7" t="n"/>
      <c r="C188" s="7" t="n"/>
      <c r="D188" s="9" t="n"/>
      <c r="E188" s="7" t="n"/>
      <c r="F188" s="10">
        <f>IF(OR(B188="",C188="",D188="",C188=0),"",D188/C188)</f>
        <v/>
      </c>
    </row>
    <row r="189">
      <c r="A189" s="12" t="n"/>
      <c r="B189" s="7" t="n"/>
      <c r="C189" s="7" t="n"/>
      <c r="D189" s="9" t="n"/>
      <c r="E189" s="7" t="n"/>
      <c r="F189" s="10">
        <f>IF(OR(B189="",C189="",D189="",C189=0),"",D189/C189)</f>
        <v/>
      </c>
    </row>
    <row r="190">
      <c r="A190" s="12" t="n"/>
      <c r="B190" s="7" t="n"/>
      <c r="C190" s="7" t="n"/>
      <c r="D190" s="9" t="n"/>
      <c r="E190" s="7" t="n"/>
      <c r="F190" s="10">
        <f>IF(OR(B190="",C190="",D190="",C190=0),"",D190/C190)</f>
        <v/>
      </c>
    </row>
    <row r="191">
      <c r="A191" s="12" t="n"/>
      <c r="B191" s="7" t="n"/>
      <c r="C191" s="7" t="n"/>
      <c r="D191" s="9" t="n"/>
      <c r="E191" s="7" t="n"/>
      <c r="F191" s="10">
        <f>IF(OR(B191="",C191="",D191="",C191=0),"",D191/C191)</f>
        <v/>
      </c>
    </row>
    <row r="192">
      <c r="A192" s="12" t="n"/>
      <c r="B192" s="7" t="n"/>
      <c r="C192" s="7" t="n"/>
      <c r="D192" s="9" t="n"/>
      <c r="E192" s="7" t="n"/>
      <c r="F192" s="10">
        <f>IF(OR(B192="",C192="",D192="",C192=0),"",D192/C192)</f>
        <v/>
      </c>
    </row>
    <row r="193">
      <c r="A193" s="12" t="n"/>
      <c r="B193" s="7" t="n"/>
      <c r="C193" s="7" t="n"/>
      <c r="D193" s="9" t="n"/>
      <c r="E193" s="7" t="n"/>
      <c r="F193" s="10">
        <f>IF(OR(B193="",C193="",D193="",C193=0),"",D193/C193)</f>
        <v/>
      </c>
    </row>
    <row r="194">
      <c r="A194" s="12" t="n"/>
      <c r="B194" s="7" t="n"/>
      <c r="C194" s="7" t="n"/>
      <c r="D194" s="9" t="n"/>
      <c r="E194" s="7" t="n"/>
      <c r="F194" s="10">
        <f>IF(OR(B194="",C194="",D194="",C194=0),"",D194/C194)</f>
        <v/>
      </c>
    </row>
    <row r="195">
      <c r="A195" s="12" t="n"/>
      <c r="B195" s="7" t="n"/>
      <c r="C195" s="7" t="n"/>
      <c r="D195" s="9" t="n"/>
      <c r="E195" s="7" t="n"/>
      <c r="F195" s="10">
        <f>IF(OR(B195="",C195="",D195="",C195=0),"",D195/C195)</f>
        <v/>
      </c>
    </row>
    <row r="196">
      <c r="A196" s="12" t="n"/>
      <c r="B196" s="7" t="n"/>
      <c r="C196" s="7" t="n"/>
      <c r="D196" s="9" t="n"/>
      <c r="E196" s="7" t="n"/>
      <c r="F196" s="10">
        <f>IF(OR(B196="",C196="",D196="",C196=0),"",D196/C196)</f>
        <v/>
      </c>
    </row>
    <row r="197">
      <c r="A197" s="12" t="n"/>
      <c r="B197" s="7" t="n"/>
      <c r="C197" s="7" t="n"/>
      <c r="D197" s="9" t="n"/>
      <c r="E197" s="7" t="n"/>
      <c r="F197" s="10">
        <f>IF(OR(B197="",C197="",D197="",C197=0),"",D197/C197)</f>
        <v/>
      </c>
    </row>
    <row r="198">
      <c r="A198" s="12" t="n"/>
      <c r="B198" s="7" t="n"/>
      <c r="C198" s="7" t="n"/>
      <c r="D198" s="9" t="n"/>
      <c r="E198" s="7" t="n"/>
      <c r="F198" s="10">
        <f>IF(OR(B198="",C198="",D198="",C198=0),"",D198/C198)</f>
        <v/>
      </c>
    </row>
    <row r="199">
      <c r="A199" s="12" t="n"/>
      <c r="B199" s="7" t="n"/>
      <c r="C199" s="7" t="n"/>
      <c r="D199" s="9" t="n"/>
      <c r="E199" s="7" t="n"/>
      <c r="F199" s="10">
        <f>IF(OR(B199="",C199="",D199="",C199=0),"",D199/C199)</f>
        <v/>
      </c>
    </row>
    <row r="200">
      <c r="A200" s="12" t="n"/>
      <c r="B200" s="7" t="n"/>
      <c r="C200" s="7" t="n"/>
      <c r="D200" s="9" t="n"/>
      <c r="E200" s="7" t="n"/>
      <c r="F200" s="10">
        <f>IF(OR(B200="",C200="",D200="",C200=0),"",D200/C200)</f>
        <v/>
      </c>
    </row>
    <row r="201">
      <c r="A201" s="12" t="n"/>
      <c r="B201" s="7" t="n"/>
      <c r="C201" s="7" t="n"/>
      <c r="D201" s="9" t="n"/>
      <c r="E201" s="7" t="n"/>
      <c r="F201" s="10">
        <f>IF(OR(B201="",C201="",D201="",C201=0),"",D201/C201)</f>
        <v/>
      </c>
    </row>
    <row r="202">
      <c r="A202" s="12" t="n"/>
      <c r="B202" s="7" t="n"/>
      <c r="C202" s="7" t="n"/>
      <c r="D202" s="9" t="n"/>
      <c r="E202" s="7" t="n"/>
      <c r="F202" s="10">
        <f>IF(OR(B202="",C202="",D202="",C202=0),"",D202/C202)</f>
        <v/>
      </c>
    </row>
    <row r="203">
      <c r="A203" s="12" t="n"/>
      <c r="B203" s="7" t="n"/>
      <c r="C203" s="7" t="n"/>
      <c r="D203" s="9" t="n"/>
      <c r="E203" s="7" t="n"/>
      <c r="F203" s="10">
        <f>IF(OR(B203="",C203="",D203="",C203=0),"",D203/C203)</f>
        <v/>
      </c>
    </row>
    <row r="204">
      <c r="A204" s="12" t="n"/>
      <c r="B204" s="7" t="n"/>
      <c r="C204" s="7" t="n"/>
      <c r="D204" s="9" t="n"/>
      <c r="E204" s="7" t="n"/>
      <c r="F204" s="10">
        <f>IF(OR(B204="",C204="",D204="",C204=0),"",D204/C204)</f>
        <v/>
      </c>
    </row>
    <row r="205">
      <c r="A205" s="12" t="n"/>
      <c r="B205" s="7" t="n"/>
      <c r="C205" s="7" t="n"/>
      <c r="D205" s="9" t="n"/>
      <c r="E205" s="7" t="n"/>
      <c r="F205" s="10">
        <f>IF(OR(B205="",C205="",D205="",C205=0),"",D205/C205)</f>
        <v/>
      </c>
    </row>
    <row r="206">
      <c r="A206" s="12" t="n"/>
      <c r="B206" s="7" t="n"/>
      <c r="C206" s="7" t="n"/>
      <c r="D206" s="9" t="n"/>
      <c r="E206" s="7" t="n"/>
      <c r="F206" s="10">
        <f>IF(OR(B206="",C206="",D206="",C206=0),"",D206/C206)</f>
        <v/>
      </c>
    </row>
    <row r="207">
      <c r="A207" s="12" t="n"/>
      <c r="B207" s="7" t="n"/>
      <c r="C207" s="7" t="n"/>
      <c r="D207" s="9" t="n"/>
      <c r="E207" s="7" t="n"/>
      <c r="F207" s="10">
        <f>IF(OR(B207="",C207="",D207="",C207=0),"",D207/C207)</f>
        <v/>
      </c>
    </row>
    <row r="208">
      <c r="A208" s="12" t="n"/>
      <c r="B208" s="7" t="n"/>
      <c r="C208" s="7" t="n"/>
      <c r="D208" s="9" t="n"/>
      <c r="E208" s="7" t="n"/>
      <c r="F208" s="10">
        <f>IF(OR(B208="",C208="",D208="",C208=0),"",D208/C208)</f>
        <v/>
      </c>
    </row>
    <row r="209">
      <c r="A209" s="12" t="n"/>
      <c r="B209" s="7" t="n"/>
      <c r="C209" s="7" t="n"/>
      <c r="D209" s="9" t="n"/>
      <c r="E209" s="7" t="n"/>
      <c r="F209" s="10">
        <f>IF(OR(B209="",C209="",D209="",C209=0),"",D209/C209)</f>
        <v/>
      </c>
    </row>
    <row r="210">
      <c r="A210" s="12" t="n"/>
      <c r="B210" s="7" t="n"/>
      <c r="C210" s="7" t="n"/>
      <c r="D210" s="9" t="n"/>
      <c r="E210" s="7" t="n"/>
      <c r="F210" s="10">
        <f>IF(OR(B210="",C210="",D210="",C210=0),"",D210/C210)</f>
        <v/>
      </c>
    </row>
    <row r="211">
      <c r="A211" s="12" t="n"/>
      <c r="B211" s="7" t="n"/>
      <c r="C211" s="7" t="n"/>
      <c r="D211" s="9" t="n"/>
      <c r="E211" s="7" t="n"/>
      <c r="F211" s="10">
        <f>IF(OR(B211="",C211="",D211="",C211=0),"",D211/C211)</f>
        <v/>
      </c>
    </row>
    <row r="212">
      <c r="A212" s="12" t="n"/>
      <c r="B212" s="7" t="n"/>
      <c r="C212" s="7" t="n"/>
      <c r="D212" s="9" t="n"/>
      <c r="E212" s="7" t="n"/>
      <c r="F212" s="10">
        <f>IF(OR(B212="",C212="",D212="",C212=0),"",D212/C212)</f>
        <v/>
      </c>
    </row>
    <row r="213">
      <c r="A213" s="12" t="n"/>
      <c r="B213" s="7" t="n"/>
      <c r="C213" s="7" t="n"/>
      <c r="D213" s="9" t="n"/>
      <c r="E213" s="7" t="n"/>
      <c r="F213" s="10">
        <f>IF(OR(B213="",C213="",D213="",C213=0),"",D213/C213)</f>
        <v/>
      </c>
    </row>
    <row r="214">
      <c r="A214" s="12" t="n"/>
      <c r="B214" s="7" t="n"/>
      <c r="C214" s="7" t="n"/>
      <c r="D214" s="9" t="n"/>
      <c r="E214" s="7" t="n"/>
      <c r="F214" s="10">
        <f>IF(OR(B214="",C214="",D214="",C214=0),"",D214/C214)</f>
        <v/>
      </c>
    </row>
    <row r="215">
      <c r="A215" s="12" t="n"/>
      <c r="B215" s="7" t="n"/>
      <c r="C215" s="7" t="n"/>
      <c r="D215" s="9" t="n"/>
      <c r="E215" s="7" t="n"/>
      <c r="F215" s="10">
        <f>IF(OR(B215="",C215="",D215="",C215=0),"",D215/C215)</f>
        <v/>
      </c>
    </row>
    <row r="216">
      <c r="A216" s="12" t="n"/>
      <c r="B216" s="7" t="n"/>
      <c r="C216" s="7" t="n"/>
      <c r="D216" s="9" t="n"/>
      <c r="E216" s="7" t="n"/>
      <c r="F216" s="10">
        <f>IF(OR(B216="",C216="",D216="",C216=0),"",D216/C216)</f>
        <v/>
      </c>
    </row>
    <row r="217">
      <c r="A217" s="12" t="n"/>
      <c r="B217" s="7" t="n"/>
      <c r="C217" s="7" t="n"/>
      <c r="D217" s="9" t="n"/>
      <c r="E217" s="7" t="n"/>
      <c r="F217" s="10">
        <f>IF(OR(B217="",C217="",D217="",C217=0),"",D217/C217)</f>
        <v/>
      </c>
    </row>
    <row r="218">
      <c r="A218" s="12" t="n"/>
      <c r="B218" s="7" t="n"/>
      <c r="C218" s="7" t="n"/>
      <c r="D218" s="9" t="n"/>
      <c r="E218" s="7" t="n"/>
      <c r="F218" s="10">
        <f>IF(OR(B218="",C218="",D218="",C218=0),"",D218/C218)</f>
        <v/>
      </c>
    </row>
    <row r="219">
      <c r="A219" s="12" t="n"/>
      <c r="B219" s="7" t="n"/>
      <c r="C219" s="7" t="n"/>
      <c r="D219" s="9" t="n"/>
      <c r="E219" s="7" t="n"/>
      <c r="F219" s="10">
        <f>IF(OR(B219="",C219="",D219="",C219=0),"",D219/C219)</f>
        <v/>
      </c>
    </row>
    <row r="220">
      <c r="A220" s="12" t="n"/>
      <c r="B220" s="7" t="n"/>
      <c r="C220" s="7" t="n"/>
      <c r="D220" s="9" t="n"/>
      <c r="E220" s="7" t="n"/>
      <c r="F220" s="10">
        <f>IF(OR(B220="",C220="",D220="",C220=0),"",D220/C220)</f>
        <v/>
      </c>
    </row>
    <row r="221">
      <c r="A221" s="12" t="n"/>
      <c r="B221" s="7" t="n"/>
      <c r="C221" s="7" t="n"/>
      <c r="D221" s="9" t="n"/>
      <c r="E221" s="7" t="n"/>
      <c r="F221" s="10">
        <f>IF(OR(B221="",C221="",D221="",C221=0),"",D221/C221)</f>
        <v/>
      </c>
    </row>
    <row r="222">
      <c r="A222" s="12" t="n"/>
      <c r="B222" s="7" t="n"/>
      <c r="C222" s="7" t="n"/>
      <c r="D222" s="9" t="n"/>
      <c r="E222" s="7" t="n"/>
      <c r="F222" s="10">
        <f>IF(OR(B222="",C222="",D222="",C222=0),"",D222/C222)</f>
        <v/>
      </c>
    </row>
    <row r="223">
      <c r="A223" s="12" t="n"/>
      <c r="B223" s="7" t="n"/>
      <c r="C223" s="7" t="n"/>
      <c r="D223" s="9" t="n"/>
      <c r="E223" s="7" t="n"/>
      <c r="F223" s="10">
        <f>IF(OR(B223="",C223="",D223="",C223=0),"",D223/C223)</f>
        <v/>
      </c>
    </row>
    <row r="224">
      <c r="A224" s="12" t="n"/>
      <c r="B224" s="7" t="n"/>
      <c r="C224" s="7" t="n"/>
      <c r="D224" s="9" t="n"/>
      <c r="E224" s="7" t="n"/>
      <c r="F224" s="10">
        <f>IF(OR(B224="",C224="",D224="",C224=0),"",D224/C224)</f>
        <v/>
      </c>
    </row>
    <row r="225">
      <c r="A225" s="12" t="n"/>
      <c r="B225" s="7" t="n"/>
      <c r="C225" s="7" t="n"/>
      <c r="D225" s="9" t="n"/>
      <c r="E225" s="7" t="n"/>
      <c r="F225" s="10">
        <f>IF(OR(B225="",C225="",D225="",C225=0),"",D225/C225)</f>
        <v/>
      </c>
    </row>
    <row r="226">
      <c r="A226" s="12" t="n"/>
      <c r="B226" s="7" t="n"/>
      <c r="C226" s="7" t="n"/>
      <c r="D226" s="9" t="n"/>
      <c r="E226" s="7" t="n"/>
      <c r="F226" s="10">
        <f>IF(OR(B226="",C226="",D226="",C226=0),"",D226/C226)</f>
        <v/>
      </c>
    </row>
    <row r="227">
      <c r="A227" s="12" t="n"/>
      <c r="B227" s="7" t="n"/>
      <c r="C227" s="7" t="n"/>
      <c r="D227" s="9" t="n"/>
      <c r="E227" s="7" t="n"/>
      <c r="F227" s="10">
        <f>IF(OR(B227="",C227="",D227="",C227=0),"",D227/C227)</f>
        <v/>
      </c>
    </row>
    <row r="228">
      <c r="A228" s="12" t="n"/>
      <c r="B228" s="7" t="n"/>
      <c r="C228" s="7" t="n"/>
      <c r="D228" s="9" t="n"/>
      <c r="E228" s="7" t="n"/>
      <c r="F228" s="10">
        <f>IF(OR(B228="",C228="",D228="",C228=0),"",D228/C228)</f>
        <v/>
      </c>
    </row>
    <row r="229">
      <c r="A229" s="12" t="n"/>
      <c r="B229" s="7" t="n"/>
      <c r="C229" s="7" t="n"/>
      <c r="D229" s="9" t="n"/>
      <c r="E229" s="7" t="n"/>
      <c r="F229" s="10">
        <f>IF(OR(B229="",C229="",D229="",C229=0),"",D229/C229)</f>
        <v/>
      </c>
    </row>
    <row r="230">
      <c r="A230" s="12" t="n"/>
      <c r="B230" s="7" t="n"/>
      <c r="C230" s="7" t="n"/>
      <c r="D230" s="9" t="n"/>
      <c r="E230" s="7" t="n"/>
      <c r="F230" s="10">
        <f>IF(OR(B230="",C230="",D230="",C230=0),"",D230/C230)</f>
        <v/>
      </c>
    </row>
    <row r="231">
      <c r="A231" s="12" t="n"/>
      <c r="B231" s="7" t="n"/>
      <c r="C231" s="7" t="n"/>
      <c r="D231" s="9" t="n"/>
      <c r="E231" s="7" t="n"/>
      <c r="F231" s="10">
        <f>IF(OR(B231="",C231="",D231="",C231=0),"",D231/C231)</f>
        <v/>
      </c>
    </row>
    <row r="232">
      <c r="A232" s="12" t="n"/>
      <c r="B232" s="7" t="n"/>
      <c r="C232" s="7" t="n"/>
      <c r="D232" s="9" t="n"/>
      <c r="E232" s="7" t="n"/>
      <c r="F232" s="10">
        <f>IF(OR(B232="",C232="",D232="",C232=0),"",D232/C232)</f>
        <v/>
      </c>
    </row>
    <row r="233">
      <c r="A233" s="12" t="n"/>
      <c r="B233" s="7" t="n"/>
      <c r="C233" s="7" t="n"/>
      <c r="D233" s="9" t="n"/>
      <c r="E233" s="7" t="n"/>
      <c r="F233" s="10">
        <f>IF(OR(B233="",C233="",D233="",C233=0),"",D233/C233)</f>
        <v/>
      </c>
    </row>
    <row r="234">
      <c r="A234" s="12" t="n"/>
      <c r="B234" s="7" t="n"/>
      <c r="C234" s="7" t="n"/>
      <c r="D234" s="9" t="n"/>
      <c r="E234" s="7" t="n"/>
      <c r="F234" s="10">
        <f>IF(OR(B234="",C234="",D234="",C234=0),"",D234/C234)</f>
        <v/>
      </c>
    </row>
    <row r="235">
      <c r="A235" s="12" t="n"/>
      <c r="B235" s="7" t="n"/>
      <c r="C235" s="7" t="n"/>
      <c r="D235" s="9" t="n"/>
      <c r="E235" s="7" t="n"/>
      <c r="F235" s="10">
        <f>IF(OR(B235="",C235="",D235="",C235=0),"",D235/C235)</f>
        <v/>
      </c>
    </row>
    <row r="236">
      <c r="A236" s="12" t="n"/>
      <c r="B236" s="7" t="n"/>
      <c r="C236" s="7" t="n"/>
      <c r="D236" s="9" t="n"/>
      <c r="E236" s="7" t="n"/>
      <c r="F236" s="10">
        <f>IF(OR(B236="",C236="",D236="",C236=0),"",D236/C236)</f>
        <v/>
      </c>
    </row>
    <row r="237">
      <c r="A237" s="12" t="n"/>
      <c r="B237" s="7" t="n"/>
      <c r="C237" s="7" t="n"/>
      <c r="D237" s="9" t="n"/>
      <c r="E237" s="7" t="n"/>
      <c r="F237" s="10">
        <f>IF(OR(B237="",C237="",D237="",C237=0),"",D237/C237)</f>
        <v/>
      </c>
    </row>
    <row r="238">
      <c r="A238" s="12" t="n"/>
      <c r="B238" s="7" t="n"/>
      <c r="C238" s="7" t="n"/>
      <c r="D238" s="9" t="n"/>
      <c r="E238" s="7" t="n"/>
      <c r="F238" s="10">
        <f>IF(OR(B238="",C238="",D238="",C238=0),"",D238/C238)</f>
        <v/>
      </c>
    </row>
    <row r="239">
      <c r="A239" s="12" t="n"/>
      <c r="B239" s="7" t="n"/>
      <c r="C239" s="7" t="n"/>
      <c r="D239" s="9" t="n"/>
      <c r="E239" s="7" t="n"/>
      <c r="F239" s="10">
        <f>IF(OR(B239="",C239="",D239="",C239=0),"",D239/C239)</f>
        <v/>
      </c>
    </row>
    <row r="240">
      <c r="A240" s="12" t="n"/>
      <c r="B240" s="7" t="n"/>
      <c r="C240" s="7" t="n"/>
      <c r="D240" s="9" t="n"/>
      <c r="E240" s="7" t="n"/>
      <c r="F240" s="10">
        <f>IF(OR(B240="",C240="",D240="",C240=0),"",D240/C240)</f>
        <v/>
      </c>
    </row>
    <row r="241">
      <c r="A241" s="12" t="n"/>
      <c r="B241" s="7" t="n"/>
      <c r="C241" s="7" t="n"/>
      <c r="D241" s="9" t="n"/>
      <c r="E241" s="7" t="n"/>
      <c r="F241" s="10">
        <f>IF(OR(B241="",C241="",D241="",C241=0),"",D241/C241)</f>
        <v/>
      </c>
    </row>
    <row r="242">
      <c r="A242" s="12" t="n"/>
      <c r="B242" s="7" t="n"/>
      <c r="C242" s="7" t="n"/>
      <c r="D242" s="9" t="n"/>
      <c r="E242" s="7" t="n"/>
      <c r="F242" s="10">
        <f>IF(OR(B242="",C242="",D242="",C242=0),"",D242/C242)</f>
        <v/>
      </c>
    </row>
    <row r="243">
      <c r="A243" s="12" t="n"/>
      <c r="B243" s="7" t="n"/>
      <c r="C243" s="7" t="n"/>
      <c r="D243" s="9" t="n"/>
      <c r="E243" s="7" t="n"/>
      <c r="F243" s="10">
        <f>IF(OR(B243="",C243="",D243="",C243=0),"",D243/C243)</f>
        <v/>
      </c>
    </row>
    <row r="244">
      <c r="A244" s="12" t="n"/>
      <c r="B244" s="7" t="n"/>
      <c r="C244" s="7" t="n"/>
      <c r="D244" s="9" t="n"/>
      <c r="E244" s="7" t="n"/>
      <c r="F244" s="10">
        <f>IF(OR(B244="",C244="",D244="",C244=0),"",D244/C244)</f>
        <v/>
      </c>
    </row>
    <row r="245">
      <c r="A245" s="12" t="n"/>
      <c r="B245" s="7" t="n"/>
      <c r="C245" s="7" t="n"/>
      <c r="D245" s="9" t="n"/>
      <c r="E245" s="7" t="n"/>
      <c r="F245" s="10">
        <f>IF(OR(B245="",C245="",D245="",C245=0),"",D245/C245)</f>
        <v/>
      </c>
    </row>
    <row r="246">
      <c r="A246" s="12" t="n"/>
      <c r="B246" s="7" t="n"/>
      <c r="C246" s="7" t="n"/>
      <c r="D246" s="9" t="n"/>
      <c r="E246" s="7" t="n"/>
      <c r="F246" s="10">
        <f>IF(OR(B246="",C246="",D246="",C246=0),"",D246/C246)</f>
        <v/>
      </c>
    </row>
    <row r="247">
      <c r="A247" s="12" t="n"/>
      <c r="B247" s="7" t="n"/>
      <c r="C247" s="7" t="n"/>
      <c r="D247" s="9" t="n"/>
      <c r="E247" s="7" t="n"/>
      <c r="F247" s="10">
        <f>IF(OR(B247="",C247="",D247="",C247=0),"",D247/C247)</f>
        <v/>
      </c>
    </row>
    <row r="248">
      <c r="A248" s="12" t="n"/>
      <c r="B248" s="7" t="n"/>
      <c r="C248" s="7" t="n"/>
      <c r="D248" s="9" t="n"/>
      <c r="E248" s="7" t="n"/>
      <c r="F248" s="10">
        <f>IF(OR(B248="",C248="",D248="",C248=0),"",D248/C248)</f>
        <v/>
      </c>
    </row>
    <row r="249">
      <c r="A249" s="12" t="n"/>
      <c r="B249" s="7" t="n"/>
      <c r="C249" s="7" t="n"/>
      <c r="D249" s="9" t="n"/>
      <c r="E249" s="7" t="n"/>
      <c r="F249" s="10">
        <f>IF(OR(B249="",C249="",D249="",C249=0),"",D249/C249)</f>
        <v/>
      </c>
    </row>
    <row r="250">
      <c r="A250" s="12" t="n"/>
      <c r="B250" s="7" t="n"/>
      <c r="C250" s="7" t="n"/>
      <c r="D250" s="9" t="n"/>
      <c r="E250" s="7" t="n"/>
      <c r="F250" s="10">
        <f>IF(OR(B250="",C250="",D250="",C250=0),"",D250/C250)</f>
        <v/>
      </c>
    </row>
    <row r="251">
      <c r="A251" s="12" t="n"/>
      <c r="B251" s="7" t="n"/>
      <c r="C251" s="7" t="n"/>
      <c r="D251" s="9" t="n"/>
      <c r="E251" s="7" t="n"/>
      <c r="F251" s="10">
        <f>IF(OR(B251="",C251="",D251="",C251=0),"",D251/C251)</f>
        <v/>
      </c>
    </row>
    <row r="252">
      <c r="A252" s="12" t="n"/>
      <c r="B252" s="7" t="n"/>
      <c r="C252" s="7" t="n"/>
      <c r="D252" s="9" t="n"/>
      <c r="E252" s="7" t="n"/>
      <c r="F252" s="10">
        <f>IF(OR(B252="",C252="",D252="",C252=0),"",D252/C252)</f>
        <v/>
      </c>
    </row>
    <row r="253">
      <c r="A253" s="12" t="n"/>
      <c r="B253" s="7" t="n"/>
      <c r="C253" s="7" t="n"/>
      <c r="D253" s="9" t="n"/>
      <c r="E253" s="7" t="n"/>
      <c r="F253" s="10">
        <f>IF(OR(B253="",C253="",D253="",C253=0),"",D253/C253)</f>
        <v/>
      </c>
    </row>
    <row r="254">
      <c r="A254" s="12" t="n"/>
      <c r="B254" s="7" t="n"/>
      <c r="C254" s="7" t="n"/>
      <c r="D254" s="9" t="n"/>
      <c r="E254" s="7" t="n"/>
      <c r="F254" s="10">
        <f>IF(OR(B254="",C254="",D254="",C254=0),"",D254/C254)</f>
        <v/>
      </c>
    </row>
    <row r="255">
      <c r="A255" s="12" t="n"/>
      <c r="B255" s="7" t="n"/>
      <c r="C255" s="7" t="n"/>
      <c r="D255" s="9" t="n"/>
      <c r="E255" s="7" t="n"/>
      <c r="F255" s="10">
        <f>IF(OR(B255="",C255="",D255="",C255=0),"",D255/C255)</f>
        <v/>
      </c>
    </row>
    <row r="256">
      <c r="A256" s="12" t="n"/>
      <c r="B256" s="7" t="n"/>
      <c r="C256" s="7" t="n"/>
      <c r="D256" s="9" t="n"/>
      <c r="E256" s="7" t="n"/>
      <c r="F256" s="10">
        <f>IF(OR(B256="",C256="",D256="",C256=0),"",D256/C256)</f>
        <v/>
      </c>
    </row>
    <row r="257">
      <c r="A257" s="12" t="n"/>
      <c r="B257" s="7" t="n"/>
      <c r="C257" s="7" t="n"/>
      <c r="D257" s="9" t="n"/>
      <c r="E257" s="7" t="n"/>
      <c r="F257" s="10">
        <f>IF(OR(B257="",C257="",D257="",C257=0),"",D257/C257)</f>
        <v/>
      </c>
    </row>
    <row r="258">
      <c r="A258" s="12" t="n"/>
      <c r="B258" s="7" t="n"/>
      <c r="C258" s="7" t="n"/>
      <c r="D258" s="9" t="n"/>
      <c r="E258" s="7" t="n"/>
      <c r="F258" s="10">
        <f>IF(OR(B258="",C258="",D258="",C258=0),"",D258/C258)</f>
        <v/>
      </c>
    </row>
    <row r="259">
      <c r="A259" s="12" t="n"/>
      <c r="B259" s="7" t="n"/>
      <c r="C259" s="7" t="n"/>
      <c r="D259" s="9" t="n"/>
      <c r="E259" s="7" t="n"/>
      <c r="F259" s="10">
        <f>IF(OR(B259="",C259="",D259="",C259=0),"",D259/C259)</f>
        <v/>
      </c>
    </row>
    <row r="260">
      <c r="A260" s="12" t="n"/>
      <c r="B260" s="7" t="n"/>
      <c r="C260" s="7" t="n"/>
      <c r="D260" s="9" t="n"/>
      <c r="E260" s="7" t="n"/>
      <c r="F260" s="10">
        <f>IF(OR(B260="",C260="",D260="",C260=0),"",D260/C260)</f>
        <v/>
      </c>
    </row>
    <row r="261">
      <c r="A261" s="12" t="n"/>
      <c r="B261" s="7" t="n"/>
      <c r="C261" s="7" t="n"/>
      <c r="D261" s="9" t="n"/>
      <c r="E261" s="7" t="n"/>
      <c r="F261" s="10">
        <f>IF(OR(B261="",C261="",D261="",C261=0),"",D261/C261)</f>
        <v/>
      </c>
    </row>
    <row r="262">
      <c r="A262" s="12" t="n"/>
      <c r="B262" s="7" t="n"/>
      <c r="C262" s="7" t="n"/>
      <c r="D262" s="9" t="n"/>
      <c r="E262" s="7" t="n"/>
      <c r="F262" s="10">
        <f>IF(OR(B262="",C262="",D262="",C262=0),"",D262/C262)</f>
        <v/>
      </c>
    </row>
    <row r="263">
      <c r="A263" s="12" t="n"/>
      <c r="B263" s="7" t="n"/>
      <c r="C263" s="7" t="n"/>
      <c r="D263" s="9" t="n"/>
      <c r="E263" s="7" t="n"/>
      <c r="F263" s="10">
        <f>IF(OR(B263="",C263="",D263="",C263=0),"",D263/C263)</f>
        <v/>
      </c>
    </row>
    <row r="264">
      <c r="A264" s="12" t="n"/>
      <c r="B264" s="7" t="n"/>
      <c r="C264" s="7" t="n"/>
      <c r="D264" s="9" t="n"/>
      <c r="E264" s="7" t="n"/>
      <c r="F264" s="10">
        <f>IF(OR(B264="",C264="",D264="",C264=0),"",D264/C264)</f>
        <v/>
      </c>
    </row>
    <row r="265">
      <c r="A265" s="12" t="n"/>
      <c r="B265" s="7" t="n"/>
      <c r="C265" s="7" t="n"/>
      <c r="D265" s="9" t="n"/>
      <c r="E265" s="7" t="n"/>
      <c r="F265" s="10">
        <f>IF(OR(B265="",C265="",D265="",C265=0),"",D265/C265)</f>
        <v/>
      </c>
    </row>
    <row r="266">
      <c r="A266" s="12" t="n"/>
      <c r="B266" s="7" t="n"/>
      <c r="C266" s="7" t="n"/>
      <c r="D266" s="9" t="n"/>
      <c r="E266" s="7" t="n"/>
      <c r="F266" s="10">
        <f>IF(OR(B266="",C266="",D266="",C266=0),"",D266/C266)</f>
        <v/>
      </c>
    </row>
    <row r="267">
      <c r="A267" s="12" t="n"/>
      <c r="B267" s="7" t="n"/>
      <c r="C267" s="7" t="n"/>
      <c r="D267" s="9" t="n"/>
      <c r="E267" s="7" t="n"/>
      <c r="F267" s="10">
        <f>IF(OR(B267="",C267="",D267="",C267=0),"",D267/C267)</f>
        <v/>
      </c>
    </row>
    <row r="268">
      <c r="A268" s="12" t="n"/>
      <c r="B268" s="7" t="n"/>
      <c r="C268" s="7" t="n"/>
      <c r="D268" s="9" t="n"/>
      <c r="E268" s="7" t="n"/>
      <c r="F268" s="10">
        <f>IF(OR(B268="",C268="",D268="",C268=0),"",D268/C268)</f>
        <v/>
      </c>
    </row>
    <row r="269">
      <c r="A269" s="12" t="n"/>
      <c r="B269" s="7" t="n"/>
      <c r="C269" s="7" t="n"/>
      <c r="D269" s="9" t="n"/>
      <c r="E269" s="7" t="n"/>
      <c r="F269" s="10">
        <f>IF(OR(B269="",C269="",D269="",C269=0),"",D269/C269)</f>
        <v/>
      </c>
    </row>
    <row r="270">
      <c r="A270" s="12" t="n"/>
      <c r="B270" s="7" t="n"/>
      <c r="C270" s="7" t="n"/>
      <c r="D270" s="9" t="n"/>
      <c r="E270" s="7" t="n"/>
      <c r="F270" s="10">
        <f>IF(OR(B270="",C270="",D270="",C270=0),"",D270/C270)</f>
        <v/>
      </c>
    </row>
    <row r="271">
      <c r="A271" s="12" t="n"/>
      <c r="B271" s="7" t="n"/>
      <c r="C271" s="7" t="n"/>
      <c r="D271" s="9" t="n"/>
      <c r="E271" s="7" t="n"/>
      <c r="F271" s="10">
        <f>IF(OR(B271="",C271="",D271="",C271=0),"",D271/C271)</f>
        <v/>
      </c>
    </row>
    <row r="272">
      <c r="A272" s="12" t="n"/>
      <c r="B272" s="7" t="n"/>
      <c r="C272" s="7" t="n"/>
      <c r="D272" s="9" t="n"/>
      <c r="E272" s="7" t="n"/>
      <c r="F272" s="10">
        <f>IF(OR(B272="",C272="",D272="",C272=0),"",D272/C272)</f>
        <v/>
      </c>
    </row>
    <row r="273">
      <c r="A273" s="12" t="n"/>
      <c r="B273" s="7" t="n"/>
      <c r="C273" s="7" t="n"/>
      <c r="D273" s="9" t="n"/>
      <c r="E273" s="7" t="n"/>
      <c r="F273" s="10">
        <f>IF(OR(B273="",C273="",D273="",C273=0),"",D273/C273)</f>
        <v/>
      </c>
    </row>
    <row r="274">
      <c r="A274" s="12" t="n"/>
      <c r="B274" s="7" t="n"/>
      <c r="C274" s="7" t="n"/>
      <c r="D274" s="9" t="n"/>
      <c r="E274" s="7" t="n"/>
      <c r="F274" s="10">
        <f>IF(OR(B274="",C274="",D274="",C274=0),"",D274/C274)</f>
        <v/>
      </c>
    </row>
    <row r="275">
      <c r="A275" s="12" t="n"/>
      <c r="B275" s="7" t="n"/>
      <c r="C275" s="7" t="n"/>
      <c r="D275" s="9" t="n"/>
      <c r="E275" s="7" t="n"/>
      <c r="F275" s="10">
        <f>IF(OR(B275="",C275="",D275="",C275=0),"",D275/C275)</f>
        <v/>
      </c>
    </row>
    <row r="276">
      <c r="A276" s="12" t="n"/>
      <c r="B276" s="7" t="n"/>
      <c r="C276" s="7" t="n"/>
      <c r="D276" s="9" t="n"/>
      <c r="E276" s="7" t="n"/>
      <c r="F276" s="10">
        <f>IF(OR(B276="",C276="",D276="",C276=0),"",D276/C276)</f>
        <v/>
      </c>
    </row>
    <row r="277">
      <c r="A277" s="12" t="n"/>
      <c r="B277" s="7" t="n"/>
      <c r="C277" s="7" t="n"/>
      <c r="D277" s="9" t="n"/>
      <c r="E277" s="7" t="n"/>
      <c r="F277" s="10">
        <f>IF(OR(B277="",C277="",D277="",C277=0),"",D277/C277)</f>
        <v/>
      </c>
    </row>
    <row r="278">
      <c r="A278" s="12" t="n"/>
      <c r="B278" s="7" t="n"/>
      <c r="C278" s="7" t="n"/>
      <c r="D278" s="9" t="n"/>
      <c r="E278" s="7" t="n"/>
      <c r="F278" s="10">
        <f>IF(OR(B278="",C278="",D278="",C278=0),"",D278/C278)</f>
        <v/>
      </c>
    </row>
    <row r="279">
      <c r="A279" s="12" t="n"/>
      <c r="B279" s="7" t="n"/>
      <c r="C279" s="7" t="n"/>
      <c r="D279" s="9" t="n"/>
      <c r="E279" s="7" t="n"/>
      <c r="F279" s="10">
        <f>IF(OR(B279="",C279="",D279="",C279=0),"",D279/C279)</f>
        <v/>
      </c>
    </row>
    <row r="280">
      <c r="A280" s="12" t="n"/>
      <c r="B280" s="7" t="n"/>
      <c r="C280" s="7" t="n"/>
      <c r="D280" s="9" t="n"/>
      <c r="E280" s="7" t="n"/>
      <c r="F280" s="10">
        <f>IF(OR(B280="",C280="",D280="",C280=0),"",D280/C280)</f>
        <v/>
      </c>
    </row>
    <row r="281">
      <c r="A281" s="12" t="n"/>
      <c r="B281" s="7" t="n"/>
      <c r="C281" s="7" t="n"/>
      <c r="D281" s="9" t="n"/>
      <c r="E281" s="7" t="n"/>
      <c r="F281" s="10">
        <f>IF(OR(B281="",C281="",D281="",C281=0),"",D281/C281)</f>
        <v/>
      </c>
    </row>
    <row r="282">
      <c r="A282" s="12" t="n"/>
      <c r="B282" s="7" t="n"/>
      <c r="C282" s="7" t="n"/>
      <c r="D282" s="9" t="n"/>
      <c r="E282" s="7" t="n"/>
      <c r="F282" s="10">
        <f>IF(OR(B282="",C282="",D282="",C282=0),"",D282/C282)</f>
        <v/>
      </c>
    </row>
    <row r="283">
      <c r="A283" s="12" t="n"/>
      <c r="B283" s="7" t="n"/>
      <c r="C283" s="7" t="n"/>
      <c r="D283" s="9" t="n"/>
      <c r="E283" s="7" t="n"/>
      <c r="F283" s="10">
        <f>IF(OR(B283="",C283="",D283="",C283=0),"",D283/C283)</f>
        <v/>
      </c>
    </row>
    <row r="284">
      <c r="A284" s="12" t="n"/>
      <c r="B284" s="7" t="n"/>
      <c r="C284" s="7" t="n"/>
      <c r="D284" s="9" t="n"/>
      <c r="E284" s="7" t="n"/>
      <c r="F284" s="10">
        <f>IF(OR(B284="",C284="",D284="",C284=0),"",D284/C284)</f>
        <v/>
      </c>
    </row>
    <row r="285">
      <c r="A285" s="12" t="n"/>
      <c r="B285" s="7" t="n"/>
      <c r="C285" s="7" t="n"/>
      <c r="D285" s="9" t="n"/>
      <c r="E285" s="7" t="n"/>
      <c r="F285" s="10">
        <f>IF(OR(B285="",C285="",D285="",C285=0),"",D285/C285)</f>
        <v/>
      </c>
    </row>
    <row r="286">
      <c r="A286" s="12" t="n"/>
      <c r="B286" s="7" t="n"/>
      <c r="C286" s="7" t="n"/>
      <c r="D286" s="9" t="n"/>
      <c r="E286" s="7" t="n"/>
      <c r="F286" s="10">
        <f>IF(OR(B286="",C286="",D286="",C286=0),"",D286/C286)</f>
        <v/>
      </c>
    </row>
    <row r="287">
      <c r="A287" s="12" t="n"/>
      <c r="B287" s="7" t="n"/>
      <c r="C287" s="7" t="n"/>
      <c r="D287" s="9" t="n"/>
      <c r="E287" s="7" t="n"/>
      <c r="F287" s="10">
        <f>IF(OR(B287="",C287="",D287="",C287=0),"",D287/C287)</f>
        <v/>
      </c>
    </row>
    <row r="288">
      <c r="A288" s="12" t="n"/>
      <c r="B288" s="7" t="n"/>
      <c r="C288" s="7" t="n"/>
      <c r="D288" s="9" t="n"/>
      <c r="E288" s="7" t="n"/>
      <c r="F288" s="10">
        <f>IF(OR(B288="",C288="",D288="",C288=0),"",D288/C288)</f>
        <v/>
      </c>
    </row>
    <row r="289">
      <c r="A289" s="12" t="n"/>
      <c r="B289" s="7" t="n"/>
      <c r="C289" s="7" t="n"/>
      <c r="D289" s="9" t="n"/>
      <c r="E289" s="7" t="n"/>
      <c r="F289" s="10">
        <f>IF(OR(B289="",C289="",D289="",C289=0),"",D289/C289)</f>
        <v/>
      </c>
    </row>
    <row r="290">
      <c r="A290" s="12" t="n"/>
      <c r="B290" s="7" t="n"/>
      <c r="C290" s="7" t="n"/>
      <c r="D290" s="9" t="n"/>
      <c r="E290" s="7" t="n"/>
      <c r="F290" s="10">
        <f>IF(OR(B290="",C290="",D290="",C290=0),"",D290/C290)</f>
        <v/>
      </c>
    </row>
    <row r="291">
      <c r="A291" s="12" t="n"/>
      <c r="B291" s="7" t="n"/>
      <c r="C291" s="7" t="n"/>
      <c r="D291" s="9" t="n"/>
      <c r="E291" s="7" t="n"/>
      <c r="F291" s="10">
        <f>IF(OR(B291="",C291="",D291="",C291=0),"",D291/C291)</f>
        <v/>
      </c>
    </row>
    <row r="292">
      <c r="A292" s="12" t="n"/>
      <c r="B292" s="7" t="n"/>
      <c r="C292" s="7" t="n"/>
      <c r="D292" s="9" t="n"/>
      <c r="E292" s="7" t="n"/>
      <c r="F292" s="10">
        <f>IF(OR(B292="",C292="",D292="",C292=0),"",D292/C292)</f>
        <v/>
      </c>
    </row>
    <row r="293">
      <c r="A293" s="12" t="n"/>
      <c r="B293" s="7" t="n"/>
      <c r="C293" s="7" t="n"/>
      <c r="D293" s="9" t="n"/>
      <c r="E293" s="7" t="n"/>
      <c r="F293" s="10">
        <f>IF(OR(B293="",C293="",D293="",C293=0),"",D293/C293)</f>
        <v/>
      </c>
    </row>
    <row r="294">
      <c r="A294" s="12" t="n"/>
      <c r="B294" s="7" t="n"/>
      <c r="C294" s="7" t="n"/>
      <c r="D294" s="9" t="n"/>
      <c r="E294" s="7" t="n"/>
      <c r="F294" s="10">
        <f>IF(OR(B294="",C294="",D294="",C294=0),"",D294/C294)</f>
        <v/>
      </c>
    </row>
    <row r="295">
      <c r="A295" s="12" t="n"/>
      <c r="B295" s="7" t="n"/>
      <c r="C295" s="7" t="n"/>
      <c r="D295" s="9" t="n"/>
      <c r="E295" s="7" t="n"/>
      <c r="F295" s="10">
        <f>IF(OR(B295="",C295="",D295="",C295=0),"",D295/C295)</f>
        <v/>
      </c>
    </row>
    <row r="296">
      <c r="A296" s="12" t="n"/>
      <c r="B296" s="7" t="n"/>
      <c r="C296" s="7" t="n"/>
      <c r="D296" s="9" t="n"/>
      <c r="E296" s="7" t="n"/>
      <c r="F296" s="10">
        <f>IF(OR(B296="",C296="",D296="",C296=0),"",D296/C296)</f>
        <v/>
      </c>
    </row>
    <row r="297">
      <c r="A297" s="12" t="n"/>
      <c r="B297" s="7" t="n"/>
      <c r="C297" s="7" t="n"/>
      <c r="D297" s="9" t="n"/>
      <c r="E297" s="7" t="n"/>
      <c r="F297" s="10">
        <f>IF(OR(B297="",C297="",D297="",C297=0),"",D297/C297)</f>
        <v/>
      </c>
    </row>
    <row r="298">
      <c r="A298" s="12" t="n"/>
      <c r="B298" s="7" t="n"/>
      <c r="C298" s="7" t="n"/>
      <c r="D298" s="9" t="n"/>
      <c r="E298" s="7" t="n"/>
      <c r="F298" s="10">
        <f>IF(OR(B298="",C298="",D298="",C298=0),"",D298/C298)</f>
        <v/>
      </c>
    </row>
    <row r="299">
      <c r="A299" s="12" t="n"/>
      <c r="B299" s="7" t="n"/>
      <c r="C299" s="7" t="n"/>
      <c r="D299" s="9" t="n"/>
      <c r="E299" s="7" t="n"/>
      <c r="F299" s="10">
        <f>IF(OR(B299="",C299="",D299="",C299=0),"",D299/C299)</f>
        <v/>
      </c>
    </row>
    <row r="300">
      <c r="A300" s="12" t="n"/>
      <c r="B300" s="7" t="n"/>
      <c r="C300" s="7" t="n"/>
      <c r="D300" s="9" t="n"/>
      <c r="E300" s="7" t="n"/>
      <c r="F300" s="10">
        <f>IF(OR(B300="",C300="",D300="",C300=0),"",D300/C300)</f>
        <v/>
      </c>
    </row>
    <row r="301">
      <c r="A301" s="12" t="n"/>
      <c r="B301" s="7" t="n"/>
      <c r="C301" s="7" t="n"/>
      <c r="D301" s="9" t="n"/>
      <c r="E301" s="7" t="n"/>
      <c r="F301" s="10">
        <f>IF(OR(B301="",C301="",D301="",C301=0),"",D301/C301)</f>
        <v/>
      </c>
    </row>
    <row r="302">
      <c r="A302" s="12" t="n"/>
      <c r="B302" s="7" t="n"/>
      <c r="C302" s="7" t="n"/>
      <c r="D302" s="9" t="n"/>
      <c r="E302" s="7" t="n"/>
      <c r="F302" s="10">
        <f>IF(OR(B302="",C302="",D302="",C302=0),"",D302/C302)</f>
        <v/>
      </c>
    </row>
    <row r="303">
      <c r="A303" s="12" t="n"/>
      <c r="B303" s="7" t="n"/>
      <c r="C303" s="7" t="n"/>
      <c r="D303" s="9" t="n"/>
      <c r="E303" s="7" t="n"/>
      <c r="F303" s="10">
        <f>IF(OR(B303="",C303="",D303="",C303=0),"",D303/C303)</f>
        <v/>
      </c>
    </row>
    <row r="304">
      <c r="A304" s="12" t="n"/>
      <c r="B304" s="7" t="n"/>
      <c r="C304" s="7" t="n"/>
      <c r="D304" s="9" t="n"/>
      <c r="E304" s="7" t="n"/>
      <c r="F304" s="10">
        <f>IF(OR(B304="",C304="",D304="",C304=0),"",D304/C304)</f>
        <v/>
      </c>
    </row>
    <row r="305">
      <c r="A305" s="12" t="n"/>
      <c r="B305" s="7" t="n"/>
      <c r="C305" s="7" t="n"/>
      <c r="D305" s="9" t="n"/>
      <c r="E305" s="7" t="n"/>
      <c r="F305" s="10">
        <f>IF(OR(B305="",C305="",D305="",C305=0),"",D305/C305)</f>
        <v/>
      </c>
    </row>
    <row r="306">
      <c r="A306" s="12" t="n"/>
      <c r="B306" s="7" t="n"/>
      <c r="C306" s="7" t="n"/>
      <c r="D306" s="9" t="n"/>
      <c r="E306" s="7" t="n"/>
      <c r="F306" s="10">
        <f>IF(OR(B306="",C306="",D306="",C306=0),"",D306/C306)</f>
        <v/>
      </c>
    </row>
    <row r="307">
      <c r="A307" s="12" t="n"/>
      <c r="B307" s="7" t="n"/>
      <c r="C307" s="7" t="n"/>
      <c r="D307" s="9" t="n"/>
      <c r="E307" s="7" t="n"/>
      <c r="F307" s="10">
        <f>IF(OR(B307="",C307="",D307="",C307=0),"",D307/C307)</f>
        <v/>
      </c>
    </row>
    <row r="308">
      <c r="A308" s="12" t="n"/>
      <c r="B308" s="7" t="n"/>
      <c r="C308" s="7" t="n"/>
      <c r="D308" s="9" t="n"/>
      <c r="E308" s="7" t="n"/>
      <c r="F308" s="10">
        <f>IF(OR(B308="",C308="",D308="",C308=0),"",D308/C308)</f>
        <v/>
      </c>
    </row>
    <row r="309">
      <c r="A309" s="12" t="n"/>
      <c r="B309" s="7" t="n"/>
      <c r="C309" s="7" t="n"/>
      <c r="D309" s="9" t="n"/>
      <c r="E309" s="7" t="n"/>
      <c r="F309" s="10">
        <f>IF(OR(B309="",C309="",D309="",C309=0),"",D309/C309)</f>
        <v/>
      </c>
    </row>
    <row r="310">
      <c r="A310" s="12" t="n"/>
      <c r="B310" s="7" t="n"/>
      <c r="C310" s="7" t="n"/>
      <c r="D310" s="9" t="n"/>
      <c r="E310" s="7" t="n"/>
      <c r="F310" s="10">
        <f>IF(OR(B310="",C310="",D310="",C310=0),"",D310/C310)</f>
        <v/>
      </c>
    </row>
    <row r="311">
      <c r="A311" s="12" t="n"/>
      <c r="B311" s="7" t="n"/>
      <c r="C311" s="7" t="n"/>
      <c r="D311" s="9" t="n"/>
      <c r="E311" s="7" t="n"/>
      <c r="F311" s="10">
        <f>IF(OR(B311="",C311="",D311="",C311=0),"",D311/C311)</f>
        <v/>
      </c>
    </row>
    <row r="312">
      <c r="A312" s="12" t="n"/>
      <c r="B312" s="7" t="n"/>
      <c r="C312" s="7" t="n"/>
      <c r="D312" s="9" t="n"/>
      <c r="E312" s="7" t="n"/>
      <c r="F312" s="10">
        <f>IF(OR(B312="",C312="",D312="",C312=0),"",D312/C312)</f>
        <v/>
      </c>
    </row>
    <row r="313">
      <c r="A313" s="12" t="n"/>
      <c r="B313" s="7" t="n"/>
      <c r="C313" s="7" t="n"/>
      <c r="D313" s="9" t="n"/>
      <c r="E313" s="7" t="n"/>
      <c r="F313" s="10">
        <f>IF(OR(B313="",C313="",D313="",C313=0),"",D313/C313)</f>
        <v/>
      </c>
    </row>
    <row r="314">
      <c r="A314" s="12" t="n"/>
      <c r="B314" s="7" t="n"/>
      <c r="C314" s="7" t="n"/>
      <c r="D314" s="9" t="n"/>
      <c r="E314" s="7" t="n"/>
      <c r="F314" s="10">
        <f>IF(OR(B314="",C314="",D314="",C314=0),"",D314/C314)</f>
        <v/>
      </c>
    </row>
    <row r="315">
      <c r="A315" s="12" t="n"/>
      <c r="B315" s="7" t="n"/>
      <c r="C315" s="7" t="n"/>
      <c r="D315" s="9" t="n"/>
      <c r="E315" s="7" t="n"/>
      <c r="F315" s="10">
        <f>IF(OR(B315="",C315="",D315="",C315=0),"",D315/C315)</f>
        <v/>
      </c>
    </row>
    <row r="316">
      <c r="A316" s="12" t="n"/>
      <c r="B316" s="7" t="n"/>
      <c r="C316" s="7" t="n"/>
      <c r="D316" s="9" t="n"/>
      <c r="E316" s="7" t="n"/>
      <c r="F316" s="10">
        <f>IF(OR(B316="",C316="",D316="",C316=0),"",D316/C316)</f>
        <v/>
      </c>
    </row>
    <row r="317">
      <c r="A317" s="12" t="n"/>
      <c r="B317" s="7" t="n"/>
      <c r="C317" s="7" t="n"/>
      <c r="D317" s="9" t="n"/>
      <c r="E317" s="7" t="n"/>
      <c r="F317" s="10">
        <f>IF(OR(B317="",C317="",D317="",C317=0),"",D317/C317)</f>
        <v/>
      </c>
    </row>
    <row r="318">
      <c r="A318" s="12" t="n"/>
      <c r="B318" s="7" t="n"/>
      <c r="C318" s="7" t="n"/>
      <c r="D318" s="9" t="n"/>
      <c r="E318" s="7" t="n"/>
      <c r="F318" s="10">
        <f>IF(OR(B318="",C318="",D318="",C318=0),"",D318/C318)</f>
        <v/>
      </c>
    </row>
    <row r="319">
      <c r="A319" s="12" t="n"/>
      <c r="B319" s="7" t="n"/>
      <c r="C319" s="7" t="n"/>
      <c r="D319" s="9" t="n"/>
      <c r="E319" s="7" t="n"/>
      <c r="F319" s="10">
        <f>IF(OR(B319="",C319="",D319="",C319=0),"",D319/C319)</f>
        <v/>
      </c>
    </row>
    <row r="320">
      <c r="A320" s="12" t="n"/>
      <c r="B320" s="7" t="n"/>
      <c r="C320" s="7" t="n"/>
      <c r="D320" s="9" t="n"/>
      <c r="E320" s="7" t="n"/>
      <c r="F320" s="10">
        <f>IF(OR(B320="",C320="",D320="",C320=0),"",D320/C320)</f>
        <v/>
      </c>
    </row>
    <row r="321">
      <c r="A321" s="12" t="n"/>
      <c r="B321" s="7" t="n"/>
      <c r="C321" s="7" t="n"/>
      <c r="D321" s="9" t="n"/>
      <c r="E321" s="7" t="n"/>
      <c r="F321" s="10">
        <f>IF(OR(B321="",C321="",D321="",C321=0),"",D321/C321)</f>
        <v/>
      </c>
    </row>
    <row r="322">
      <c r="A322" s="12" t="n"/>
      <c r="B322" s="7" t="n"/>
      <c r="C322" s="7" t="n"/>
      <c r="D322" s="9" t="n"/>
      <c r="E322" s="7" t="n"/>
      <c r="F322" s="10">
        <f>IF(OR(B322="",C322="",D322="",C322=0),"",D322/C322)</f>
        <v/>
      </c>
    </row>
    <row r="323">
      <c r="A323" s="12" t="n"/>
      <c r="B323" s="7" t="n"/>
      <c r="C323" s="7" t="n"/>
      <c r="D323" s="9" t="n"/>
      <c r="E323" s="7" t="n"/>
      <c r="F323" s="10">
        <f>IF(OR(B323="",C323="",D323="",C323=0),"",D323/C323)</f>
        <v/>
      </c>
    </row>
    <row r="324">
      <c r="A324" s="12" t="n"/>
      <c r="B324" s="7" t="n"/>
      <c r="C324" s="7" t="n"/>
      <c r="D324" s="9" t="n"/>
      <c r="E324" s="7" t="n"/>
      <c r="F324" s="10">
        <f>IF(OR(B324="",C324="",D324="",C324=0),"",D324/C324)</f>
        <v/>
      </c>
    </row>
    <row r="325">
      <c r="A325" s="12" t="n"/>
      <c r="B325" s="7" t="n"/>
      <c r="C325" s="7" t="n"/>
      <c r="D325" s="9" t="n"/>
      <c r="E325" s="7" t="n"/>
      <c r="F325" s="10">
        <f>IF(OR(B325="",C325="",D325="",C325=0),"",D325/C325)</f>
        <v/>
      </c>
    </row>
    <row r="326">
      <c r="A326" s="12" t="n"/>
      <c r="B326" s="7" t="n"/>
      <c r="C326" s="7" t="n"/>
      <c r="D326" s="9" t="n"/>
      <c r="E326" s="7" t="n"/>
      <c r="F326" s="10">
        <f>IF(OR(B326="",C326="",D326="",C326=0),"",D326/C326)</f>
        <v/>
      </c>
    </row>
    <row r="327">
      <c r="A327" s="12" t="n"/>
      <c r="B327" s="7" t="n"/>
      <c r="C327" s="7" t="n"/>
      <c r="D327" s="9" t="n"/>
      <c r="E327" s="7" t="n"/>
      <c r="F327" s="10">
        <f>IF(OR(B327="",C327="",D327="",C327=0),"",D327/C327)</f>
        <v/>
      </c>
    </row>
    <row r="328">
      <c r="A328" s="12" t="n"/>
      <c r="B328" s="7" t="n"/>
      <c r="C328" s="7" t="n"/>
      <c r="D328" s="9" t="n"/>
      <c r="E328" s="7" t="n"/>
      <c r="F328" s="10">
        <f>IF(OR(B328="",C328="",D328="",C328=0),"",D328/C328)</f>
        <v/>
      </c>
    </row>
    <row r="329">
      <c r="A329" s="12" t="n"/>
      <c r="B329" s="7" t="n"/>
      <c r="C329" s="7" t="n"/>
      <c r="D329" s="9" t="n"/>
      <c r="E329" s="7" t="n"/>
      <c r="F329" s="10">
        <f>IF(OR(B329="",C329="",D329="",C329=0),"",D329/C329)</f>
        <v/>
      </c>
    </row>
    <row r="330">
      <c r="A330" s="12" t="n"/>
      <c r="B330" s="7" t="n"/>
      <c r="C330" s="7" t="n"/>
      <c r="D330" s="9" t="n"/>
      <c r="E330" s="7" t="n"/>
      <c r="F330" s="10">
        <f>IF(OR(B330="",C330="",D330="",C330=0),"",D330/C330)</f>
        <v/>
      </c>
    </row>
    <row r="331">
      <c r="A331" s="12" t="n"/>
      <c r="B331" s="7" t="n"/>
      <c r="C331" s="7" t="n"/>
      <c r="D331" s="9" t="n"/>
      <c r="E331" s="7" t="n"/>
      <c r="F331" s="10">
        <f>IF(OR(B331="",C331="",D331="",C331=0),"",D331/C331)</f>
        <v/>
      </c>
    </row>
    <row r="332">
      <c r="A332" s="12" t="n"/>
      <c r="B332" s="7" t="n"/>
      <c r="C332" s="7" t="n"/>
      <c r="D332" s="9" t="n"/>
      <c r="E332" s="7" t="n"/>
      <c r="F332" s="10">
        <f>IF(OR(B332="",C332="",D332="",C332=0),"",D332/C332)</f>
        <v/>
      </c>
    </row>
    <row r="333">
      <c r="A333" s="12" t="n"/>
      <c r="B333" s="7" t="n"/>
      <c r="C333" s="7" t="n"/>
      <c r="D333" s="9" t="n"/>
      <c r="E333" s="7" t="n"/>
      <c r="F333" s="10">
        <f>IF(OR(B333="",C333="",D333="",C333=0),"",D333/C333)</f>
        <v/>
      </c>
    </row>
    <row r="334">
      <c r="A334" s="12" t="n"/>
      <c r="B334" s="7" t="n"/>
      <c r="C334" s="7" t="n"/>
      <c r="D334" s="9" t="n"/>
      <c r="E334" s="7" t="n"/>
      <c r="F334" s="10">
        <f>IF(OR(B334="",C334="",D334="",C334=0),"",D334/C334)</f>
        <v/>
      </c>
    </row>
    <row r="335">
      <c r="A335" s="12" t="n"/>
      <c r="B335" s="7" t="n"/>
      <c r="C335" s="7" t="n"/>
      <c r="D335" s="9" t="n"/>
      <c r="E335" s="7" t="n"/>
      <c r="F335" s="10">
        <f>IF(OR(B335="",C335="",D335="",C335=0),"",D335/C335)</f>
        <v/>
      </c>
    </row>
    <row r="336">
      <c r="A336" s="12" t="n"/>
      <c r="B336" s="7" t="n"/>
      <c r="C336" s="7" t="n"/>
      <c r="D336" s="9" t="n"/>
      <c r="E336" s="7" t="n"/>
      <c r="F336" s="10">
        <f>IF(OR(B336="",C336="",D336="",C336=0),"",D336/C336)</f>
        <v/>
      </c>
    </row>
    <row r="337">
      <c r="A337" s="12" t="n"/>
      <c r="B337" s="7" t="n"/>
      <c r="C337" s="7" t="n"/>
      <c r="D337" s="9" t="n"/>
      <c r="E337" s="7" t="n"/>
      <c r="F337" s="10">
        <f>IF(OR(B337="",C337="",D337="",C337=0),"",D337/C337)</f>
        <v/>
      </c>
    </row>
    <row r="338">
      <c r="A338" s="12" t="n"/>
      <c r="B338" s="7" t="n"/>
      <c r="C338" s="7" t="n"/>
      <c r="D338" s="9" t="n"/>
      <c r="E338" s="7" t="n"/>
      <c r="F338" s="10">
        <f>IF(OR(B338="",C338="",D338="",C338=0),"",D338/C338)</f>
        <v/>
      </c>
    </row>
    <row r="339">
      <c r="A339" s="12" t="n"/>
      <c r="B339" s="7" t="n"/>
      <c r="C339" s="7" t="n"/>
      <c r="D339" s="9" t="n"/>
      <c r="E339" s="7" t="n"/>
      <c r="F339" s="10">
        <f>IF(OR(B339="",C339="",D339="",C339=0),"",D339/C339)</f>
        <v/>
      </c>
    </row>
    <row r="340">
      <c r="A340" s="12" t="n"/>
      <c r="B340" s="7" t="n"/>
      <c r="C340" s="7" t="n"/>
      <c r="D340" s="9" t="n"/>
      <c r="E340" s="7" t="n"/>
      <c r="F340" s="10">
        <f>IF(OR(B340="",C340="",D340="",C340=0),"",D340/C340)</f>
        <v/>
      </c>
    </row>
    <row r="341">
      <c r="A341" s="12" t="n"/>
      <c r="B341" s="7" t="n"/>
      <c r="C341" s="7" t="n"/>
      <c r="D341" s="9" t="n"/>
      <c r="E341" s="7" t="n"/>
      <c r="F341" s="10">
        <f>IF(OR(B341="",C341="",D341="",C341=0),"",D341/C341)</f>
        <v/>
      </c>
    </row>
    <row r="342">
      <c r="A342" s="12" t="n"/>
      <c r="B342" s="7" t="n"/>
      <c r="C342" s="7" t="n"/>
      <c r="D342" s="9" t="n"/>
      <c r="E342" s="7" t="n"/>
      <c r="F342" s="10">
        <f>IF(OR(B342="",C342="",D342="",C342=0),"",D342/C342)</f>
        <v/>
      </c>
    </row>
    <row r="343">
      <c r="A343" s="12" t="n"/>
      <c r="B343" s="7" t="n"/>
      <c r="C343" s="7" t="n"/>
      <c r="D343" s="9" t="n"/>
      <c r="E343" s="7" t="n"/>
      <c r="F343" s="10">
        <f>IF(OR(B343="",C343="",D343="",C343=0),"",D343/C343)</f>
        <v/>
      </c>
    </row>
    <row r="344">
      <c r="A344" s="12" t="n"/>
      <c r="B344" s="7" t="n"/>
      <c r="C344" s="7" t="n"/>
      <c r="D344" s="9" t="n"/>
      <c r="E344" s="7" t="n"/>
      <c r="F344" s="10">
        <f>IF(OR(B344="",C344="",D344="",C344=0),"",D344/C344)</f>
        <v/>
      </c>
    </row>
    <row r="345">
      <c r="A345" s="12" t="n"/>
      <c r="B345" s="7" t="n"/>
      <c r="C345" s="7" t="n"/>
      <c r="D345" s="9" t="n"/>
      <c r="E345" s="7" t="n"/>
      <c r="F345" s="10">
        <f>IF(OR(B345="",C345="",D345="",C345=0),"",D345/C345)</f>
        <v/>
      </c>
    </row>
    <row r="346">
      <c r="A346" s="12" t="n"/>
      <c r="B346" s="7" t="n"/>
      <c r="C346" s="7" t="n"/>
      <c r="D346" s="9" t="n"/>
      <c r="E346" s="7" t="n"/>
      <c r="F346" s="10">
        <f>IF(OR(B346="",C346="",D346="",C346=0),"",D346/C346)</f>
        <v/>
      </c>
    </row>
    <row r="347">
      <c r="A347" s="12" t="n"/>
      <c r="B347" s="7" t="n"/>
      <c r="C347" s="7" t="n"/>
      <c r="D347" s="9" t="n"/>
      <c r="E347" s="7" t="n"/>
      <c r="F347" s="10">
        <f>IF(OR(B347="",C347="",D347="",C347=0),"",D347/C347)</f>
        <v/>
      </c>
    </row>
    <row r="348">
      <c r="A348" s="12" t="n"/>
      <c r="B348" s="7" t="n"/>
      <c r="C348" s="7" t="n"/>
      <c r="D348" s="9" t="n"/>
      <c r="E348" s="7" t="n"/>
      <c r="F348" s="10">
        <f>IF(OR(B348="",C348="",D348="",C348=0),"",D348/C348)</f>
        <v/>
      </c>
    </row>
    <row r="349">
      <c r="A349" s="12" t="n"/>
      <c r="B349" s="7" t="n"/>
      <c r="C349" s="7" t="n"/>
      <c r="D349" s="9" t="n"/>
      <c r="E349" s="7" t="n"/>
      <c r="F349" s="10">
        <f>IF(OR(B349="",C349="",D349="",C349=0),"",D349/C349)</f>
        <v/>
      </c>
    </row>
    <row r="350">
      <c r="A350" s="12" t="n"/>
      <c r="B350" s="7" t="n"/>
      <c r="C350" s="7" t="n"/>
      <c r="D350" s="9" t="n"/>
      <c r="E350" s="7" t="n"/>
      <c r="F350" s="10">
        <f>IF(OR(B350="",C350="",D350="",C350=0),"",D350/C350)</f>
        <v/>
      </c>
    </row>
    <row r="351">
      <c r="A351" s="12" t="n"/>
      <c r="B351" s="7" t="n"/>
      <c r="C351" s="7" t="n"/>
      <c r="D351" s="9" t="n"/>
      <c r="E351" s="7" t="n"/>
      <c r="F351" s="10">
        <f>IF(OR(B351="",C351="",D351="",C351=0),"",D351/C351)</f>
        <v/>
      </c>
    </row>
    <row r="352">
      <c r="A352" s="12" t="n"/>
      <c r="B352" s="7" t="n"/>
      <c r="C352" s="7" t="n"/>
      <c r="D352" s="9" t="n"/>
      <c r="E352" s="7" t="n"/>
      <c r="F352" s="10">
        <f>IF(OR(B352="",C352="",D352="",C352=0),"",D352/C352)</f>
        <v/>
      </c>
    </row>
    <row r="353">
      <c r="A353" s="12" t="n"/>
      <c r="B353" s="7" t="n"/>
      <c r="C353" s="7" t="n"/>
      <c r="D353" s="9" t="n"/>
      <c r="E353" s="7" t="n"/>
      <c r="F353" s="10">
        <f>IF(OR(B353="",C353="",D353="",C353=0),"",D353/C353)</f>
        <v/>
      </c>
    </row>
    <row r="354">
      <c r="A354" s="12" t="n"/>
      <c r="B354" s="7" t="n"/>
      <c r="C354" s="7" t="n"/>
      <c r="D354" s="9" t="n"/>
      <c r="E354" s="7" t="n"/>
      <c r="F354" s="10">
        <f>IF(OR(B354="",C354="",D354="",C354=0),"",D354/C354)</f>
        <v/>
      </c>
    </row>
    <row r="355">
      <c r="A355" s="12" t="n"/>
      <c r="B355" s="7" t="n"/>
      <c r="C355" s="7" t="n"/>
      <c r="D355" s="9" t="n"/>
      <c r="E355" s="7" t="n"/>
      <c r="F355" s="10">
        <f>IF(OR(B355="",C355="",D355="",C355=0),"",D355/C355)</f>
        <v/>
      </c>
    </row>
    <row r="356">
      <c r="A356" s="12" t="n"/>
      <c r="B356" s="7" t="n"/>
      <c r="C356" s="7" t="n"/>
      <c r="D356" s="9" t="n"/>
      <c r="E356" s="7" t="n"/>
      <c r="F356" s="10">
        <f>IF(OR(B356="",C356="",D356="",C356=0),"",D356/C356)</f>
        <v/>
      </c>
    </row>
    <row r="357">
      <c r="A357" s="12" t="n"/>
      <c r="B357" s="7" t="n"/>
      <c r="C357" s="7" t="n"/>
      <c r="D357" s="9" t="n"/>
      <c r="E357" s="7" t="n"/>
      <c r="F357" s="10">
        <f>IF(OR(B357="",C357="",D357="",C357=0),"",D357/C357)</f>
        <v/>
      </c>
    </row>
    <row r="358">
      <c r="A358" s="12" t="n"/>
      <c r="B358" s="7" t="n"/>
      <c r="C358" s="7" t="n"/>
      <c r="D358" s="9" t="n"/>
      <c r="E358" s="7" t="n"/>
      <c r="F358" s="10">
        <f>IF(OR(B358="",C358="",D358="",C358=0),"",D358/C358)</f>
        <v/>
      </c>
    </row>
    <row r="359">
      <c r="A359" s="12" t="n"/>
      <c r="B359" s="7" t="n"/>
      <c r="C359" s="7" t="n"/>
      <c r="D359" s="9" t="n"/>
      <c r="E359" s="7" t="n"/>
      <c r="F359" s="10">
        <f>IF(OR(B359="",C359="",D359="",C359=0),"",D359/C359)</f>
        <v/>
      </c>
    </row>
    <row r="360">
      <c r="A360" s="12" t="n"/>
      <c r="B360" s="7" t="n"/>
      <c r="C360" s="7" t="n"/>
      <c r="D360" s="9" t="n"/>
      <c r="E360" s="7" t="n"/>
      <c r="F360" s="10">
        <f>IF(OR(B360="",C360="",D360="",C360=0),"",D360/C360)</f>
        <v/>
      </c>
    </row>
    <row r="361">
      <c r="A361" s="12" t="n"/>
      <c r="B361" s="7" t="n"/>
      <c r="C361" s="7" t="n"/>
      <c r="D361" s="9" t="n"/>
      <c r="E361" s="7" t="n"/>
      <c r="F361" s="10">
        <f>IF(OR(B361="",C361="",D361="",C361=0),"",D361/C361)</f>
        <v/>
      </c>
    </row>
    <row r="362">
      <c r="A362" s="12" t="n"/>
      <c r="B362" s="7" t="n"/>
      <c r="C362" s="7" t="n"/>
      <c r="D362" s="9" t="n"/>
      <c r="E362" s="7" t="n"/>
      <c r="F362" s="10">
        <f>IF(OR(B362="",C362="",D362="",C362=0),"",D362/C362)</f>
        <v/>
      </c>
    </row>
    <row r="363">
      <c r="A363" s="12" t="n"/>
      <c r="B363" s="7" t="n"/>
      <c r="C363" s="7" t="n"/>
      <c r="D363" s="9" t="n"/>
      <c r="E363" s="7" t="n"/>
      <c r="F363" s="10">
        <f>IF(OR(B363="",C363="",D363="",C363=0),"",D363/C363)</f>
        <v/>
      </c>
    </row>
    <row r="364">
      <c r="A364" s="12" t="n"/>
      <c r="B364" s="7" t="n"/>
      <c r="C364" s="7" t="n"/>
      <c r="D364" s="9" t="n"/>
      <c r="E364" s="7" t="n"/>
      <c r="F364" s="10">
        <f>IF(OR(B364="",C364="",D364="",C364=0),"",D364/C364)</f>
        <v/>
      </c>
    </row>
    <row r="365">
      <c r="A365" s="12" t="n"/>
      <c r="B365" s="7" t="n"/>
      <c r="C365" s="7" t="n"/>
      <c r="D365" s="9" t="n"/>
      <c r="E365" s="7" t="n"/>
      <c r="F365" s="10">
        <f>IF(OR(B365="",C365="",D365="",C365=0),"",D365/C365)</f>
        <v/>
      </c>
    </row>
    <row r="366">
      <c r="A366" s="12" t="n"/>
      <c r="B366" s="7" t="n"/>
      <c r="C366" s="7" t="n"/>
      <c r="D366" s="9" t="n"/>
      <c r="E366" s="7" t="n"/>
      <c r="F366" s="10">
        <f>IF(OR(B366="",C366="",D366="",C366=0),"",D366/C366)</f>
        <v/>
      </c>
    </row>
    <row r="367">
      <c r="A367" s="12" t="n"/>
      <c r="B367" s="7" t="n"/>
      <c r="C367" s="7" t="n"/>
      <c r="D367" s="9" t="n"/>
      <c r="E367" s="7" t="n"/>
      <c r="F367" s="10">
        <f>IF(OR(B367="",C367="",D367="",C367=0),"",D367/C367)</f>
        <v/>
      </c>
    </row>
    <row r="368">
      <c r="A368" s="12" t="n"/>
      <c r="B368" s="7" t="n"/>
      <c r="C368" s="7" t="n"/>
      <c r="D368" s="9" t="n"/>
      <c r="E368" s="7" t="n"/>
      <c r="F368" s="10">
        <f>IF(OR(B368="",C368="",D368="",C368=0),"",D368/C368)</f>
        <v/>
      </c>
    </row>
    <row r="369">
      <c r="A369" s="12" t="n"/>
      <c r="B369" s="7" t="n"/>
      <c r="C369" s="7" t="n"/>
      <c r="D369" s="9" t="n"/>
      <c r="E369" s="7" t="n"/>
      <c r="F369" s="10">
        <f>IF(OR(B369="",C369="",D369="",C369=0),"",D369/C369)</f>
        <v/>
      </c>
    </row>
    <row r="370">
      <c r="A370" s="12" t="n"/>
      <c r="B370" s="7" t="n"/>
      <c r="C370" s="7" t="n"/>
      <c r="D370" s="9" t="n"/>
      <c r="E370" s="7" t="n"/>
      <c r="F370" s="10">
        <f>IF(OR(B370="",C370="",D370="",C370=0),"",D370/C370)</f>
        <v/>
      </c>
    </row>
    <row r="371">
      <c r="A371" s="12" t="n"/>
      <c r="B371" s="7" t="n"/>
      <c r="C371" s="7" t="n"/>
      <c r="D371" s="9" t="n"/>
      <c r="E371" s="7" t="n"/>
      <c r="F371" s="10">
        <f>IF(OR(B371="",C371="",D371="",C371=0),"",D371/C371)</f>
        <v/>
      </c>
    </row>
    <row r="372">
      <c r="A372" s="12" t="n"/>
      <c r="B372" s="7" t="n"/>
      <c r="C372" s="7" t="n"/>
      <c r="D372" s="9" t="n"/>
      <c r="E372" s="7" t="n"/>
      <c r="F372" s="10">
        <f>IF(OR(B372="",C372="",D372="",C372=0),"",D372/C372)</f>
        <v/>
      </c>
    </row>
    <row r="373">
      <c r="A373" s="12" t="n"/>
      <c r="B373" s="7" t="n"/>
      <c r="C373" s="7" t="n"/>
      <c r="D373" s="9" t="n"/>
      <c r="E373" s="7" t="n"/>
      <c r="F373" s="10">
        <f>IF(OR(B373="",C373="",D373="",C373=0),"",D373/C373)</f>
        <v/>
      </c>
    </row>
    <row r="374">
      <c r="A374" s="12" t="n"/>
      <c r="B374" s="7" t="n"/>
      <c r="C374" s="7" t="n"/>
      <c r="D374" s="9" t="n"/>
      <c r="E374" s="7" t="n"/>
      <c r="F374" s="10">
        <f>IF(OR(B374="",C374="",D374="",C374=0),"",D374/C374)</f>
        <v/>
      </c>
    </row>
    <row r="375">
      <c r="A375" s="12" t="n"/>
      <c r="B375" s="7" t="n"/>
      <c r="C375" s="7" t="n"/>
      <c r="D375" s="9" t="n"/>
      <c r="E375" s="7" t="n"/>
      <c r="F375" s="10">
        <f>IF(OR(B375="",C375="",D375="",C375=0),"",D375/C375)</f>
        <v/>
      </c>
    </row>
    <row r="376">
      <c r="A376" s="12" t="n"/>
      <c r="B376" s="7" t="n"/>
      <c r="C376" s="7" t="n"/>
      <c r="D376" s="9" t="n"/>
      <c r="E376" s="7" t="n"/>
      <c r="F376" s="10">
        <f>IF(OR(B376="",C376="",D376="",C376=0),"",D376/C376)</f>
        <v/>
      </c>
    </row>
    <row r="377">
      <c r="A377" s="12" t="n"/>
      <c r="B377" s="7" t="n"/>
      <c r="C377" s="7" t="n"/>
      <c r="D377" s="9" t="n"/>
      <c r="E377" s="7" t="n"/>
      <c r="F377" s="10">
        <f>IF(OR(B377="",C377="",D377="",C377=0),"",D377/C377)</f>
        <v/>
      </c>
    </row>
    <row r="378">
      <c r="A378" s="12" t="n"/>
      <c r="B378" s="7" t="n"/>
      <c r="C378" s="7" t="n"/>
      <c r="D378" s="9" t="n"/>
      <c r="E378" s="7" t="n"/>
      <c r="F378" s="10">
        <f>IF(OR(B378="",C378="",D378="",C378=0),"",D378/C378)</f>
        <v/>
      </c>
    </row>
    <row r="379">
      <c r="A379" s="12" t="n"/>
      <c r="B379" s="7" t="n"/>
      <c r="C379" s="7" t="n"/>
      <c r="D379" s="9" t="n"/>
      <c r="E379" s="7" t="n"/>
      <c r="F379" s="10">
        <f>IF(OR(B379="",C379="",D379="",C379=0),"",D379/C379)</f>
        <v/>
      </c>
    </row>
    <row r="380">
      <c r="A380" s="12" t="n"/>
      <c r="B380" s="7" t="n"/>
      <c r="C380" s="7" t="n"/>
      <c r="D380" s="9" t="n"/>
      <c r="E380" s="7" t="n"/>
      <c r="F380" s="10">
        <f>IF(OR(B380="",C380="",D380="",C380=0),"",D380/C380)</f>
        <v/>
      </c>
    </row>
    <row r="381">
      <c r="A381" s="12" t="n"/>
      <c r="B381" s="7" t="n"/>
      <c r="C381" s="7" t="n"/>
      <c r="D381" s="9" t="n"/>
      <c r="E381" s="7" t="n"/>
      <c r="F381" s="10">
        <f>IF(OR(B381="",C381="",D381="",C381=0),"",D381/C381)</f>
        <v/>
      </c>
    </row>
    <row r="382">
      <c r="A382" s="12" t="n"/>
      <c r="B382" s="7" t="n"/>
      <c r="C382" s="7" t="n"/>
      <c r="D382" s="9" t="n"/>
      <c r="E382" s="7" t="n"/>
      <c r="F382" s="10">
        <f>IF(OR(B382="",C382="",D382="",C382=0),"",D382/C382)</f>
        <v/>
      </c>
    </row>
    <row r="383">
      <c r="A383" s="12" t="n"/>
      <c r="B383" s="7" t="n"/>
      <c r="C383" s="7" t="n"/>
      <c r="D383" s="9" t="n"/>
      <c r="E383" s="7" t="n"/>
      <c r="F383" s="10">
        <f>IF(OR(B383="",C383="",D383="",C383=0),"",D383/C383)</f>
        <v/>
      </c>
    </row>
    <row r="384">
      <c r="A384" s="12" t="n"/>
      <c r="B384" s="7" t="n"/>
      <c r="C384" s="7" t="n"/>
      <c r="D384" s="9" t="n"/>
      <c r="E384" s="7" t="n"/>
      <c r="F384" s="10">
        <f>IF(OR(B384="",C384="",D384="",C384=0),"",D384/C384)</f>
        <v/>
      </c>
    </row>
    <row r="385">
      <c r="A385" s="12" t="n"/>
      <c r="B385" s="7" t="n"/>
      <c r="C385" s="7" t="n"/>
      <c r="D385" s="9" t="n"/>
      <c r="E385" s="7" t="n"/>
      <c r="F385" s="10">
        <f>IF(OR(B385="",C385="",D385="",C385=0),"",D385/C385)</f>
        <v/>
      </c>
    </row>
    <row r="386">
      <c r="A386" s="12" t="n"/>
      <c r="B386" s="7" t="n"/>
      <c r="C386" s="7" t="n"/>
      <c r="D386" s="9" t="n"/>
      <c r="E386" s="7" t="n"/>
      <c r="F386" s="10">
        <f>IF(OR(B386="",C386="",D386="",C386=0),"",D386/C386)</f>
        <v/>
      </c>
    </row>
    <row r="387">
      <c r="A387" s="12" t="n"/>
      <c r="B387" s="7" t="n"/>
      <c r="C387" s="7" t="n"/>
      <c r="D387" s="9" t="n"/>
      <c r="E387" s="7" t="n"/>
      <c r="F387" s="10">
        <f>IF(OR(B387="",C387="",D387="",C387=0),"",D387/C387)</f>
        <v/>
      </c>
    </row>
    <row r="388">
      <c r="A388" s="12" t="n"/>
      <c r="B388" s="7" t="n"/>
      <c r="C388" s="7" t="n"/>
      <c r="D388" s="9" t="n"/>
      <c r="E388" s="7" t="n"/>
      <c r="F388" s="10">
        <f>IF(OR(B388="",C388="",D388="",C388=0),"",D388/C388)</f>
        <v/>
      </c>
    </row>
    <row r="389">
      <c r="A389" s="12" t="n"/>
      <c r="B389" s="7" t="n"/>
      <c r="C389" s="7" t="n"/>
      <c r="D389" s="9" t="n"/>
      <c r="E389" s="7" t="n"/>
      <c r="F389" s="10">
        <f>IF(OR(B389="",C389="",D389="",C389=0),"",D389/C389)</f>
        <v/>
      </c>
    </row>
    <row r="390">
      <c r="A390" s="12" t="n"/>
      <c r="B390" s="7" t="n"/>
      <c r="C390" s="7" t="n"/>
      <c r="D390" s="9" t="n"/>
      <c r="E390" s="7" t="n"/>
      <c r="F390" s="10">
        <f>IF(OR(B390="",C390="",D390="",C390=0),"",D390/C390)</f>
        <v/>
      </c>
    </row>
    <row r="391">
      <c r="A391" s="12" t="n"/>
      <c r="B391" s="7" t="n"/>
      <c r="C391" s="7" t="n"/>
      <c r="D391" s="9" t="n"/>
      <c r="E391" s="7" t="n"/>
      <c r="F391" s="10">
        <f>IF(OR(B391="",C391="",D391="",C391=0),"",D391/C391)</f>
        <v/>
      </c>
    </row>
    <row r="392">
      <c r="A392" s="12" t="n"/>
      <c r="B392" s="7" t="n"/>
      <c r="C392" s="7" t="n"/>
      <c r="D392" s="9" t="n"/>
      <c r="E392" s="7" t="n"/>
      <c r="F392" s="10">
        <f>IF(OR(B392="",C392="",D392="",C392=0),"",D392/C392)</f>
        <v/>
      </c>
    </row>
    <row r="393">
      <c r="A393" s="12" t="n"/>
      <c r="B393" s="7" t="n"/>
      <c r="C393" s="7" t="n"/>
      <c r="D393" s="9" t="n"/>
      <c r="E393" s="7" t="n"/>
      <c r="F393" s="10">
        <f>IF(OR(B393="",C393="",D393="",C393=0),"",D393/C393)</f>
        <v/>
      </c>
    </row>
    <row r="394">
      <c r="A394" s="12" t="n"/>
      <c r="B394" s="7" t="n"/>
      <c r="C394" s="7" t="n"/>
      <c r="D394" s="9" t="n"/>
      <c r="E394" s="7" t="n"/>
      <c r="F394" s="10">
        <f>IF(OR(B394="",C394="",D394="",C394=0),"",D394/C394)</f>
        <v/>
      </c>
    </row>
    <row r="395">
      <c r="A395" s="12" t="n"/>
      <c r="B395" s="7" t="n"/>
      <c r="C395" s="7" t="n"/>
      <c r="D395" s="9" t="n"/>
      <c r="E395" s="7" t="n"/>
      <c r="F395" s="10">
        <f>IF(OR(B395="",C395="",D395="",C395=0),"",D395/C395)</f>
        <v/>
      </c>
    </row>
    <row r="396">
      <c r="A396" s="12" t="n"/>
      <c r="B396" s="7" t="n"/>
      <c r="C396" s="7" t="n"/>
      <c r="D396" s="9" t="n"/>
      <c r="E396" s="7" t="n"/>
      <c r="F396" s="10">
        <f>IF(OR(B396="",C396="",D396="",C396=0),"",D396/C396)</f>
        <v/>
      </c>
    </row>
    <row r="397">
      <c r="A397" s="12" t="n"/>
      <c r="B397" s="7" t="n"/>
      <c r="C397" s="7" t="n"/>
      <c r="D397" s="9" t="n"/>
      <c r="E397" s="7" t="n"/>
      <c r="F397" s="10">
        <f>IF(OR(B397="",C397="",D397="",C397=0),"",D397/C397)</f>
        <v/>
      </c>
    </row>
    <row r="398">
      <c r="A398" s="12" t="n"/>
      <c r="B398" s="7" t="n"/>
      <c r="C398" s="7" t="n"/>
      <c r="D398" s="9" t="n"/>
      <c r="E398" s="7" t="n"/>
      <c r="F398" s="10">
        <f>IF(OR(B398="",C398="",D398="",C398=0),"",D398/C398)</f>
        <v/>
      </c>
    </row>
    <row r="399">
      <c r="A399" s="12" t="n"/>
      <c r="B399" s="7" t="n"/>
      <c r="C399" s="7" t="n"/>
      <c r="D399" s="9" t="n"/>
      <c r="E399" s="7" t="n"/>
      <c r="F399" s="10">
        <f>IF(OR(B399="",C399="",D399="",C399=0),"",D399/C399)</f>
        <v/>
      </c>
    </row>
    <row r="400">
      <c r="A400" s="12" t="n"/>
      <c r="B400" s="7" t="n"/>
      <c r="C400" s="7" t="n"/>
      <c r="D400" s="9" t="n"/>
      <c r="E400" s="7" t="n"/>
      <c r="F400" s="10">
        <f>IF(OR(B400="",C400="",D400="",C400=0),"",D400/C400)</f>
        <v/>
      </c>
    </row>
    <row r="401">
      <c r="A401" s="12" t="n"/>
      <c r="B401" s="7" t="n"/>
      <c r="C401" s="7" t="n"/>
      <c r="D401" s="9" t="n"/>
      <c r="E401" s="7" t="n"/>
      <c r="F401" s="10">
        <f>IF(OR(B401="",C401="",D401="",C401=0),"",D401/C401)</f>
        <v/>
      </c>
    </row>
    <row r="402">
      <c r="A402" s="12" t="n"/>
      <c r="B402" s="7" t="n"/>
      <c r="C402" s="7" t="n"/>
      <c r="D402" s="9" t="n"/>
      <c r="E402" s="7" t="n"/>
      <c r="F402" s="10">
        <f>IF(OR(B402="",C402="",D402="",C402=0),"",D402/C402)</f>
        <v/>
      </c>
    </row>
    <row r="403">
      <c r="A403" s="12" t="n"/>
      <c r="B403" s="7" t="n"/>
      <c r="C403" s="7" t="n"/>
      <c r="D403" s="9" t="n"/>
      <c r="E403" s="7" t="n"/>
      <c r="F403" s="10">
        <f>IF(OR(B403="",C403="",D403="",C403=0),"",D403/C403)</f>
        <v/>
      </c>
    </row>
    <row r="404">
      <c r="A404" s="12" t="n"/>
      <c r="B404" s="7" t="n"/>
      <c r="C404" s="7" t="n"/>
      <c r="D404" s="9" t="n"/>
      <c r="E404" s="7" t="n"/>
      <c r="F404" s="10">
        <f>IF(OR(B404="",C404="",D404="",C404=0),"",D404/C404)</f>
        <v/>
      </c>
    </row>
    <row r="405">
      <c r="A405" s="12" t="n"/>
      <c r="B405" s="7" t="n"/>
      <c r="C405" s="7" t="n"/>
      <c r="D405" s="9" t="n"/>
      <c r="E405" s="7" t="n"/>
      <c r="F405" s="10">
        <f>IF(OR(B405="",C405="",D405="",C405=0),"",D405/C405)</f>
        <v/>
      </c>
    </row>
    <row r="406">
      <c r="A406" s="12" t="n"/>
      <c r="B406" s="7" t="n"/>
      <c r="C406" s="7" t="n"/>
      <c r="D406" s="9" t="n"/>
      <c r="E406" s="7" t="n"/>
      <c r="F406" s="10">
        <f>IF(OR(B406="",C406="",D406="",C406=0),"",D406/C406)</f>
        <v/>
      </c>
    </row>
    <row r="407">
      <c r="A407" s="12" t="n"/>
      <c r="B407" s="7" t="n"/>
      <c r="C407" s="7" t="n"/>
      <c r="D407" s="9" t="n"/>
      <c r="E407" s="7" t="n"/>
      <c r="F407" s="10">
        <f>IF(OR(B407="",C407="",D407="",C407=0),"",D407/C407)</f>
        <v/>
      </c>
    </row>
    <row r="408">
      <c r="A408" s="12" t="n"/>
      <c r="B408" s="7" t="n"/>
      <c r="C408" s="7" t="n"/>
      <c r="D408" s="9" t="n"/>
      <c r="E408" s="7" t="n"/>
      <c r="F408" s="10">
        <f>IF(OR(B408="",C408="",D408="",C408=0),"",D408/C408)</f>
        <v/>
      </c>
    </row>
    <row r="409">
      <c r="A409" s="12" t="n"/>
      <c r="B409" s="7" t="n"/>
      <c r="C409" s="7" t="n"/>
      <c r="D409" s="9" t="n"/>
      <c r="E409" s="7" t="n"/>
      <c r="F409" s="10">
        <f>IF(OR(B409="",C409="",D409="",C409=0),"",D409/C409)</f>
        <v/>
      </c>
    </row>
    <row r="410">
      <c r="A410" s="12" t="n"/>
      <c r="B410" s="7" t="n"/>
      <c r="C410" s="7" t="n"/>
      <c r="D410" s="9" t="n"/>
      <c r="E410" s="7" t="n"/>
      <c r="F410" s="10">
        <f>IF(OR(B410="",C410="",D410="",C410=0),"",D410/C410)</f>
        <v/>
      </c>
    </row>
    <row r="411">
      <c r="A411" s="12" t="n"/>
      <c r="B411" s="7" t="n"/>
      <c r="C411" s="7" t="n"/>
      <c r="D411" s="9" t="n"/>
      <c r="E411" s="7" t="n"/>
      <c r="F411" s="10">
        <f>IF(OR(B411="",C411="",D411="",C411=0),"",D411/C411)</f>
        <v/>
      </c>
    </row>
    <row r="412">
      <c r="A412" s="12" t="n"/>
      <c r="B412" s="7" t="n"/>
      <c r="C412" s="7" t="n"/>
      <c r="D412" s="9" t="n"/>
      <c r="E412" s="7" t="n"/>
      <c r="F412" s="10">
        <f>IF(OR(B412="",C412="",D412="",C412=0),"",D412/C412)</f>
        <v/>
      </c>
    </row>
    <row r="413">
      <c r="A413" s="12" t="n"/>
      <c r="B413" s="7" t="n"/>
      <c r="C413" s="7" t="n"/>
      <c r="D413" s="9" t="n"/>
      <c r="E413" s="7" t="n"/>
      <c r="F413" s="10">
        <f>IF(OR(B413="",C413="",D413="",C413=0),"",D413/C413)</f>
        <v/>
      </c>
    </row>
    <row r="414">
      <c r="A414" s="12" t="n"/>
      <c r="B414" s="7" t="n"/>
      <c r="C414" s="7" t="n"/>
      <c r="D414" s="9" t="n"/>
      <c r="E414" s="7" t="n"/>
      <c r="F414" s="10">
        <f>IF(OR(B414="",C414="",D414="",C414=0),"",D414/C414)</f>
        <v/>
      </c>
    </row>
    <row r="415">
      <c r="A415" s="12" t="n"/>
      <c r="B415" s="7" t="n"/>
      <c r="C415" s="7" t="n"/>
      <c r="D415" s="9" t="n"/>
      <c r="E415" s="7" t="n"/>
      <c r="F415" s="10">
        <f>IF(OR(B415="",C415="",D415="",C415=0),"",D415/C415)</f>
        <v/>
      </c>
    </row>
    <row r="416">
      <c r="A416" s="12" t="n"/>
      <c r="B416" s="7" t="n"/>
      <c r="C416" s="7" t="n"/>
      <c r="D416" s="9" t="n"/>
      <c r="E416" s="7" t="n"/>
      <c r="F416" s="10">
        <f>IF(OR(B416="",C416="",D416="",C416=0),"",D416/C416)</f>
        <v/>
      </c>
    </row>
    <row r="417">
      <c r="A417" s="12" t="n"/>
      <c r="B417" s="7" t="n"/>
      <c r="C417" s="7" t="n"/>
      <c r="D417" s="9" t="n"/>
      <c r="E417" s="7" t="n"/>
      <c r="F417" s="10">
        <f>IF(OR(B417="",C417="",D417="",C417=0),"",D417/C417)</f>
        <v/>
      </c>
    </row>
    <row r="418">
      <c r="A418" s="12" t="n"/>
      <c r="B418" s="7" t="n"/>
      <c r="C418" s="7" t="n"/>
      <c r="D418" s="9" t="n"/>
      <c r="E418" s="7" t="n"/>
      <c r="F418" s="10">
        <f>IF(OR(B418="",C418="",D418="",C418=0),"",D418/C418)</f>
        <v/>
      </c>
    </row>
    <row r="419">
      <c r="A419" s="12" t="n"/>
      <c r="B419" s="7" t="n"/>
      <c r="C419" s="7" t="n"/>
      <c r="D419" s="9" t="n"/>
      <c r="E419" s="7" t="n"/>
      <c r="F419" s="10">
        <f>IF(OR(B419="",C419="",D419="",C419=0),"",D419/C419)</f>
        <v/>
      </c>
    </row>
    <row r="420">
      <c r="A420" s="12" t="n"/>
      <c r="B420" s="7" t="n"/>
      <c r="C420" s="7" t="n"/>
      <c r="D420" s="9" t="n"/>
      <c r="E420" s="7" t="n"/>
      <c r="F420" s="10">
        <f>IF(OR(B420="",C420="",D420="",C420=0),"",D420/C420)</f>
        <v/>
      </c>
    </row>
    <row r="421">
      <c r="A421" s="12" t="n"/>
      <c r="B421" s="7" t="n"/>
      <c r="C421" s="7" t="n"/>
      <c r="D421" s="9" t="n"/>
      <c r="E421" s="7" t="n"/>
      <c r="F421" s="10">
        <f>IF(OR(B421="",C421="",D421="",C421=0),"",D421/C421)</f>
        <v/>
      </c>
    </row>
    <row r="422">
      <c r="A422" s="12" t="n"/>
      <c r="B422" s="7" t="n"/>
      <c r="C422" s="7" t="n"/>
      <c r="D422" s="9" t="n"/>
      <c r="E422" s="7" t="n"/>
      <c r="F422" s="10">
        <f>IF(OR(B422="",C422="",D422="",C422=0),"",D422/C422)</f>
        <v/>
      </c>
    </row>
    <row r="423">
      <c r="A423" s="12" t="n"/>
      <c r="B423" s="7" t="n"/>
      <c r="C423" s="7" t="n"/>
      <c r="D423" s="9" t="n"/>
      <c r="E423" s="7" t="n"/>
      <c r="F423" s="10">
        <f>IF(OR(B423="",C423="",D423="",C423=0),"",D423/C423)</f>
        <v/>
      </c>
    </row>
    <row r="424">
      <c r="A424" s="12" t="n"/>
      <c r="B424" s="7" t="n"/>
      <c r="C424" s="7" t="n"/>
      <c r="D424" s="9" t="n"/>
      <c r="E424" s="7" t="n"/>
      <c r="F424" s="10">
        <f>IF(OR(B424="",C424="",D424="",C424=0),"",D424/C424)</f>
        <v/>
      </c>
    </row>
    <row r="425">
      <c r="A425" s="12" t="n"/>
      <c r="B425" s="7" t="n"/>
      <c r="C425" s="7" t="n"/>
      <c r="D425" s="9" t="n"/>
      <c r="E425" s="7" t="n"/>
      <c r="F425" s="10">
        <f>IF(OR(B425="",C425="",D425="",C425=0),"",D425/C425)</f>
        <v/>
      </c>
    </row>
    <row r="426">
      <c r="A426" s="12" t="n"/>
      <c r="B426" s="7" t="n"/>
      <c r="C426" s="7" t="n"/>
      <c r="D426" s="9" t="n"/>
      <c r="E426" s="7" t="n"/>
      <c r="F426" s="10">
        <f>IF(OR(B426="",C426="",D426="",C426=0),"",D426/C426)</f>
        <v/>
      </c>
    </row>
    <row r="427">
      <c r="A427" s="12" t="n"/>
      <c r="B427" s="7" t="n"/>
      <c r="C427" s="7" t="n"/>
      <c r="D427" s="9" t="n"/>
      <c r="E427" s="7" t="n"/>
      <c r="F427" s="10">
        <f>IF(OR(B427="",C427="",D427="",C427=0),"",D427/C427)</f>
        <v/>
      </c>
    </row>
    <row r="428">
      <c r="A428" s="12" t="n"/>
      <c r="B428" s="7" t="n"/>
      <c r="C428" s="7" t="n"/>
      <c r="D428" s="9" t="n"/>
      <c r="E428" s="7" t="n"/>
      <c r="F428" s="10">
        <f>IF(OR(B428="",C428="",D428="",C428=0),"",D428/C428)</f>
        <v/>
      </c>
    </row>
    <row r="429">
      <c r="A429" s="12" t="n"/>
      <c r="B429" s="7" t="n"/>
      <c r="C429" s="7" t="n"/>
      <c r="D429" s="9" t="n"/>
      <c r="E429" s="7" t="n"/>
      <c r="F429" s="10">
        <f>IF(OR(B429="",C429="",D429="",C429=0),"",D429/C429)</f>
        <v/>
      </c>
    </row>
    <row r="430">
      <c r="A430" s="12" t="n"/>
      <c r="B430" s="7" t="n"/>
      <c r="C430" s="7" t="n"/>
      <c r="D430" s="9" t="n"/>
      <c r="E430" s="7" t="n"/>
      <c r="F430" s="10">
        <f>IF(OR(B430="",C430="",D430="",C430=0),"",D430/C430)</f>
        <v/>
      </c>
    </row>
    <row r="431">
      <c r="A431" s="12" t="n"/>
      <c r="B431" s="7" t="n"/>
      <c r="C431" s="7" t="n"/>
      <c r="D431" s="9" t="n"/>
      <c r="E431" s="7" t="n"/>
      <c r="F431" s="10">
        <f>IF(OR(B431="",C431="",D431="",C431=0),"",D431/C431)</f>
        <v/>
      </c>
    </row>
    <row r="432">
      <c r="A432" s="12" t="n"/>
      <c r="B432" s="7" t="n"/>
      <c r="C432" s="7" t="n"/>
      <c r="D432" s="9" t="n"/>
      <c r="E432" s="7" t="n"/>
      <c r="F432" s="10">
        <f>IF(OR(B432="",C432="",D432="",C432=0),"",D432/C432)</f>
        <v/>
      </c>
    </row>
    <row r="433">
      <c r="A433" s="12" t="n"/>
      <c r="B433" s="7" t="n"/>
      <c r="C433" s="7" t="n"/>
      <c r="D433" s="9" t="n"/>
      <c r="E433" s="7" t="n"/>
      <c r="F433" s="10">
        <f>IF(OR(B433="",C433="",D433="",C433=0),"",D433/C433)</f>
        <v/>
      </c>
    </row>
    <row r="434">
      <c r="A434" s="12" t="n"/>
      <c r="B434" s="7" t="n"/>
      <c r="C434" s="7" t="n"/>
      <c r="D434" s="9" t="n"/>
      <c r="E434" s="7" t="n"/>
      <c r="F434" s="10">
        <f>IF(OR(B434="",C434="",D434="",C434=0),"",D434/C434)</f>
        <v/>
      </c>
    </row>
    <row r="435">
      <c r="A435" s="12" t="n"/>
      <c r="B435" s="7" t="n"/>
      <c r="C435" s="7" t="n"/>
      <c r="D435" s="9" t="n"/>
      <c r="E435" s="7" t="n"/>
      <c r="F435" s="10">
        <f>IF(OR(B435="",C435="",D435="",C435=0),"",D435/C435)</f>
        <v/>
      </c>
    </row>
    <row r="436">
      <c r="A436" s="12" t="n"/>
      <c r="B436" s="7" t="n"/>
      <c r="C436" s="7" t="n"/>
      <c r="D436" s="9" t="n"/>
      <c r="E436" s="7" t="n"/>
      <c r="F436" s="10">
        <f>IF(OR(B436="",C436="",D436="",C436=0),"",D436/C436)</f>
        <v/>
      </c>
    </row>
    <row r="437">
      <c r="A437" s="12" t="n"/>
      <c r="B437" s="7" t="n"/>
      <c r="C437" s="7" t="n"/>
      <c r="D437" s="9" t="n"/>
      <c r="E437" s="7" t="n"/>
      <c r="F437" s="10">
        <f>IF(OR(B437="",C437="",D437="",C437=0),"",D437/C437)</f>
        <v/>
      </c>
    </row>
    <row r="438">
      <c r="A438" s="12" t="n"/>
      <c r="B438" s="7" t="n"/>
      <c r="C438" s="7" t="n"/>
      <c r="D438" s="9" t="n"/>
      <c r="E438" s="7" t="n"/>
      <c r="F438" s="10">
        <f>IF(OR(B438="",C438="",D438="",C438=0),"",D438/C438)</f>
        <v/>
      </c>
    </row>
    <row r="439">
      <c r="A439" s="12" t="n"/>
      <c r="B439" s="7" t="n"/>
      <c r="C439" s="7" t="n"/>
      <c r="D439" s="9" t="n"/>
      <c r="E439" s="7" t="n"/>
      <c r="F439" s="10">
        <f>IF(OR(B439="",C439="",D439="",C439=0),"",D439/C439)</f>
        <v/>
      </c>
    </row>
    <row r="440">
      <c r="A440" s="12" t="n"/>
      <c r="B440" s="7" t="n"/>
      <c r="C440" s="7" t="n"/>
      <c r="D440" s="9" t="n"/>
      <c r="E440" s="7" t="n"/>
      <c r="F440" s="10">
        <f>IF(OR(B440="",C440="",D440="",C440=0),"",D440/C440)</f>
        <v/>
      </c>
    </row>
    <row r="441">
      <c r="A441" s="12" t="n"/>
      <c r="B441" s="7" t="n"/>
      <c r="C441" s="7" t="n"/>
      <c r="D441" s="9" t="n"/>
      <c r="E441" s="7" t="n"/>
      <c r="F441" s="10">
        <f>IF(OR(B441="",C441="",D441="",C441=0),"",D441/C441)</f>
        <v/>
      </c>
    </row>
    <row r="442">
      <c r="A442" s="12" t="n"/>
      <c r="B442" s="7" t="n"/>
      <c r="C442" s="7" t="n"/>
      <c r="D442" s="9" t="n"/>
      <c r="E442" s="7" t="n"/>
      <c r="F442" s="10">
        <f>IF(OR(B442="",C442="",D442="",C442=0),"",D442/C442)</f>
        <v/>
      </c>
    </row>
    <row r="443">
      <c r="A443" s="12" t="n"/>
      <c r="B443" s="7" t="n"/>
      <c r="C443" s="7" t="n"/>
      <c r="D443" s="9" t="n"/>
      <c r="E443" s="7" t="n"/>
      <c r="F443" s="10">
        <f>IF(OR(B443="",C443="",D443="",C443=0),"",D443/C443)</f>
        <v/>
      </c>
    </row>
    <row r="444">
      <c r="A444" s="12" t="n"/>
      <c r="B444" s="7" t="n"/>
      <c r="C444" s="7" t="n"/>
      <c r="D444" s="9" t="n"/>
      <c r="E444" s="7" t="n"/>
      <c r="F444" s="10">
        <f>IF(OR(B444="",C444="",D444="",C444=0),"",D444/C444)</f>
        <v/>
      </c>
    </row>
    <row r="445">
      <c r="A445" s="12" t="n"/>
      <c r="B445" s="7" t="n"/>
      <c r="C445" s="7" t="n"/>
      <c r="D445" s="9" t="n"/>
      <c r="E445" s="7" t="n"/>
      <c r="F445" s="10">
        <f>IF(OR(B445="",C445="",D445="",C445=0),"",D445/C445)</f>
        <v/>
      </c>
    </row>
    <row r="446">
      <c r="A446" s="12" t="n"/>
      <c r="B446" s="7" t="n"/>
      <c r="C446" s="7" t="n"/>
      <c r="D446" s="9" t="n"/>
      <c r="E446" s="7" t="n"/>
      <c r="F446" s="10">
        <f>IF(OR(B446="",C446="",D446="",C446=0),"",D446/C446)</f>
        <v/>
      </c>
    </row>
    <row r="447">
      <c r="A447" s="12" t="n"/>
      <c r="B447" s="7" t="n"/>
      <c r="C447" s="7" t="n"/>
      <c r="D447" s="9" t="n"/>
      <c r="E447" s="7" t="n"/>
      <c r="F447" s="10">
        <f>IF(OR(B447="",C447="",D447="",C447=0),"",D447/C447)</f>
        <v/>
      </c>
    </row>
    <row r="448">
      <c r="A448" s="12" t="n"/>
      <c r="B448" s="7" t="n"/>
      <c r="C448" s="7" t="n"/>
      <c r="D448" s="9" t="n"/>
      <c r="E448" s="7" t="n"/>
      <c r="F448" s="10">
        <f>IF(OR(B448="",C448="",D448="",C448=0),"",D448/C448)</f>
        <v/>
      </c>
    </row>
    <row r="449">
      <c r="A449" s="12" t="n"/>
      <c r="B449" s="7" t="n"/>
      <c r="C449" s="7" t="n"/>
      <c r="D449" s="9" t="n"/>
      <c r="E449" s="7" t="n"/>
      <c r="F449" s="10">
        <f>IF(OR(B449="",C449="",D449="",C449=0),"",D449/C449)</f>
        <v/>
      </c>
    </row>
    <row r="450">
      <c r="A450" s="12" t="n"/>
      <c r="B450" s="7" t="n"/>
      <c r="C450" s="7" t="n"/>
      <c r="D450" s="9" t="n"/>
      <c r="E450" s="7" t="n"/>
      <c r="F450" s="10">
        <f>IF(OR(B450="",C450="",D450="",C450=0),"",D450/C450)</f>
        <v/>
      </c>
    </row>
    <row r="451">
      <c r="A451" s="12" t="n"/>
      <c r="B451" s="7" t="n"/>
      <c r="C451" s="7" t="n"/>
      <c r="D451" s="9" t="n"/>
      <c r="E451" s="7" t="n"/>
      <c r="F451" s="10">
        <f>IF(OR(B451="",C451="",D451="",C451=0),"",D451/C451)</f>
        <v/>
      </c>
    </row>
    <row r="452">
      <c r="A452" s="12" t="n"/>
      <c r="B452" s="7" t="n"/>
      <c r="C452" s="7" t="n"/>
      <c r="D452" s="9" t="n"/>
      <c r="E452" s="7" t="n"/>
      <c r="F452" s="10">
        <f>IF(OR(B452="",C452="",D452="",C452=0),"",D452/C452)</f>
        <v/>
      </c>
    </row>
    <row r="453">
      <c r="A453" s="12" t="n"/>
      <c r="B453" s="7" t="n"/>
      <c r="C453" s="7" t="n"/>
      <c r="D453" s="9" t="n"/>
      <c r="E453" s="7" t="n"/>
      <c r="F453" s="10">
        <f>IF(OR(B453="",C453="",D453="",C453=0),"",D453/C453)</f>
        <v/>
      </c>
    </row>
    <row r="454">
      <c r="A454" s="12" t="n"/>
      <c r="B454" s="7" t="n"/>
      <c r="C454" s="7" t="n"/>
      <c r="D454" s="9" t="n"/>
      <c r="E454" s="7" t="n"/>
      <c r="F454" s="10">
        <f>IF(OR(B454="",C454="",D454="",C454=0),"",D454/C454)</f>
        <v/>
      </c>
    </row>
    <row r="455">
      <c r="A455" s="12" t="n"/>
      <c r="B455" s="7" t="n"/>
      <c r="C455" s="7" t="n"/>
      <c r="D455" s="9" t="n"/>
      <c r="E455" s="7" t="n"/>
      <c r="F455" s="10">
        <f>IF(OR(B455="",C455="",D455="",C455=0),"",D455/C455)</f>
        <v/>
      </c>
    </row>
    <row r="456">
      <c r="A456" s="12" t="n"/>
      <c r="B456" s="7" t="n"/>
      <c r="C456" s="7" t="n"/>
      <c r="D456" s="9" t="n"/>
      <c r="E456" s="7" t="n"/>
      <c r="F456" s="10">
        <f>IF(OR(B456="",C456="",D456="",C456=0),"",D456/C456)</f>
        <v/>
      </c>
    </row>
    <row r="457">
      <c r="A457" s="12" t="n"/>
      <c r="B457" s="7" t="n"/>
      <c r="C457" s="7" t="n"/>
      <c r="D457" s="9" t="n"/>
      <c r="E457" s="7" t="n"/>
      <c r="F457" s="10">
        <f>IF(OR(B457="",C457="",D457="",C457=0),"",D457/C457)</f>
        <v/>
      </c>
    </row>
    <row r="458">
      <c r="A458" s="12" t="n"/>
      <c r="B458" s="7" t="n"/>
      <c r="C458" s="7" t="n"/>
      <c r="D458" s="9" t="n"/>
      <c r="E458" s="7" t="n"/>
      <c r="F458" s="10">
        <f>IF(OR(B458="",C458="",D458="",C458=0),"",D458/C458)</f>
        <v/>
      </c>
    </row>
    <row r="459">
      <c r="A459" s="12" t="n"/>
      <c r="B459" s="7" t="n"/>
      <c r="C459" s="7" t="n"/>
      <c r="D459" s="9" t="n"/>
      <c r="E459" s="7" t="n"/>
      <c r="F459" s="10">
        <f>IF(OR(B459="",C459="",D459="",C459=0),"",D459/C459)</f>
        <v/>
      </c>
    </row>
    <row r="460">
      <c r="A460" s="12" t="n"/>
      <c r="B460" s="7" t="n"/>
      <c r="C460" s="7" t="n"/>
      <c r="D460" s="9" t="n"/>
      <c r="E460" s="7" t="n"/>
      <c r="F460" s="10">
        <f>IF(OR(B460="",C460="",D460="",C460=0),"",D460/C460)</f>
        <v/>
      </c>
    </row>
    <row r="461">
      <c r="A461" s="12" t="n"/>
      <c r="B461" s="7" t="n"/>
      <c r="C461" s="7" t="n"/>
      <c r="D461" s="9" t="n"/>
      <c r="E461" s="7" t="n"/>
      <c r="F461" s="10">
        <f>IF(OR(B461="",C461="",D461="",C461=0),"",D461/C461)</f>
        <v/>
      </c>
    </row>
    <row r="462">
      <c r="A462" s="12" t="n"/>
      <c r="B462" s="7" t="n"/>
      <c r="C462" s="7" t="n"/>
      <c r="D462" s="9" t="n"/>
      <c r="E462" s="7" t="n"/>
      <c r="F462" s="10">
        <f>IF(OR(B462="",C462="",D462="",C462=0),"",D462/C462)</f>
        <v/>
      </c>
    </row>
    <row r="463">
      <c r="A463" s="12" t="n"/>
      <c r="B463" s="7" t="n"/>
      <c r="C463" s="7" t="n"/>
      <c r="D463" s="9" t="n"/>
      <c r="E463" s="7" t="n"/>
      <c r="F463" s="10">
        <f>IF(OR(B463="",C463="",D463="",C463=0),"",D463/C463)</f>
        <v/>
      </c>
    </row>
    <row r="464">
      <c r="A464" s="12" t="n"/>
      <c r="B464" s="7" t="n"/>
      <c r="C464" s="7" t="n"/>
      <c r="D464" s="9" t="n"/>
      <c r="E464" s="7" t="n"/>
      <c r="F464" s="10">
        <f>IF(OR(B464="",C464="",D464="",C464=0),"",D464/C464)</f>
        <v/>
      </c>
    </row>
    <row r="465">
      <c r="A465" s="12" t="n"/>
      <c r="B465" s="7" t="n"/>
      <c r="C465" s="7" t="n"/>
      <c r="D465" s="9" t="n"/>
      <c r="E465" s="7" t="n"/>
      <c r="F465" s="10">
        <f>IF(OR(B465="",C465="",D465="",C465=0),"",D465/C465)</f>
        <v/>
      </c>
    </row>
    <row r="466">
      <c r="A466" s="12" t="n"/>
      <c r="B466" s="7" t="n"/>
      <c r="C466" s="7" t="n"/>
      <c r="D466" s="9" t="n"/>
      <c r="E466" s="7" t="n"/>
      <c r="F466" s="10">
        <f>IF(OR(B466="",C466="",D466="",C466=0),"",D466/C466)</f>
        <v/>
      </c>
    </row>
    <row r="467">
      <c r="A467" s="12" t="n"/>
      <c r="B467" s="7" t="n"/>
      <c r="C467" s="7" t="n"/>
      <c r="D467" s="9" t="n"/>
      <c r="E467" s="7" t="n"/>
      <c r="F467" s="10">
        <f>IF(OR(B467="",C467="",D467="",C467=0),"",D467/C467)</f>
        <v/>
      </c>
    </row>
    <row r="468">
      <c r="A468" s="12" t="n"/>
      <c r="B468" s="7" t="n"/>
      <c r="C468" s="7" t="n"/>
      <c r="D468" s="9" t="n"/>
      <c r="E468" s="7" t="n"/>
      <c r="F468" s="10">
        <f>IF(OR(B468="",C468="",D468="",C468=0),"",D468/C468)</f>
        <v/>
      </c>
    </row>
    <row r="469">
      <c r="A469" s="12" t="n"/>
      <c r="B469" s="7" t="n"/>
      <c r="C469" s="7" t="n"/>
      <c r="D469" s="9" t="n"/>
      <c r="E469" s="7" t="n"/>
      <c r="F469" s="10">
        <f>IF(OR(B469="",C469="",D469="",C469=0),"",D469/C469)</f>
        <v/>
      </c>
    </row>
    <row r="470">
      <c r="A470" s="12" t="n"/>
      <c r="B470" s="7" t="n"/>
      <c r="C470" s="7" t="n"/>
      <c r="D470" s="9" t="n"/>
      <c r="E470" s="7" t="n"/>
      <c r="F470" s="10">
        <f>IF(OR(B470="",C470="",D470="",C470=0),"",D470/C470)</f>
        <v/>
      </c>
    </row>
    <row r="471">
      <c r="A471" s="12" t="n"/>
      <c r="B471" s="7" t="n"/>
      <c r="C471" s="7" t="n"/>
      <c r="D471" s="9" t="n"/>
      <c r="E471" s="7" t="n"/>
      <c r="F471" s="10">
        <f>IF(OR(B471="",C471="",D471="",C471=0),"",D471/C471)</f>
        <v/>
      </c>
    </row>
    <row r="472">
      <c r="A472" s="12" t="n"/>
      <c r="B472" s="7" t="n"/>
      <c r="C472" s="7" t="n"/>
      <c r="D472" s="9" t="n"/>
      <c r="E472" s="7" t="n"/>
      <c r="F472" s="10">
        <f>IF(OR(B472="",C472="",D472="",C472=0),"",D472/C472)</f>
        <v/>
      </c>
    </row>
    <row r="473">
      <c r="A473" s="12" t="n"/>
      <c r="B473" s="7" t="n"/>
      <c r="C473" s="7" t="n"/>
      <c r="D473" s="9" t="n"/>
      <c r="E473" s="7" t="n"/>
      <c r="F473" s="10">
        <f>IF(OR(B473="",C473="",D473="",C473=0),"",D473/C473)</f>
        <v/>
      </c>
    </row>
    <row r="474">
      <c r="A474" s="12" t="n"/>
      <c r="B474" s="7" t="n"/>
      <c r="C474" s="7" t="n"/>
      <c r="D474" s="9" t="n"/>
      <c r="E474" s="7" t="n"/>
      <c r="F474" s="10">
        <f>IF(OR(B474="",C474="",D474="",C474=0),"",D474/C474)</f>
        <v/>
      </c>
    </row>
    <row r="475">
      <c r="A475" s="12" t="n"/>
      <c r="B475" s="7" t="n"/>
      <c r="C475" s="7" t="n"/>
      <c r="D475" s="9" t="n"/>
      <c r="E475" s="7" t="n"/>
      <c r="F475" s="10">
        <f>IF(OR(B475="",C475="",D475="",C475=0),"",D475/C475)</f>
        <v/>
      </c>
    </row>
    <row r="476">
      <c r="A476" s="12" t="n"/>
      <c r="B476" s="7" t="n"/>
      <c r="C476" s="7" t="n"/>
      <c r="D476" s="9" t="n"/>
      <c r="E476" s="7" t="n"/>
      <c r="F476" s="10">
        <f>IF(OR(B476="",C476="",D476="",C476=0),"",D476/C476)</f>
        <v/>
      </c>
    </row>
    <row r="477">
      <c r="A477" s="12" t="n"/>
      <c r="B477" s="7" t="n"/>
      <c r="C477" s="7" t="n"/>
      <c r="D477" s="9" t="n"/>
      <c r="E477" s="7" t="n"/>
      <c r="F477" s="10">
        <f>IF(OR(B477="",C477="",D477="",C477=0),"",D477/C477)</f>
        <v/>
      </c>
    </row>
    <row r="478">
      <c r="A478" s="12" t="n"/>
      <c r="B478" s="7" t="n"/>
      <c r="C478" s="7" t="n"/>
      <c r="D478" s="9" t="n"/>
      <c r="E478" s="7" t="n"/>
      <c r="F478" s="10">
        <f>IF(OR(B478="",C478="",D478="",C478=0),"",D478/C478)</f>
        <v/>
      </c>
    </row>
    <row r="479">
      <c r="A479" s="12" t="n"/>
      <c r="B479" s="7" t="n"/>
      <c r="C479" s="7" t="n"/>
      <c r="D479" s="9" t="n"/>
      <c r="E479" s="7" t="n"/>
      <c r="F479" s="10">
        <f>IF(OR(B479="",C479="",D479="",C479=0),"",D479/C479)</f>
        <v/>
      </c>
    </row>
    <row r="480">
      <c r="A480" s="12" t="n"/>
      <c r="B480" s="7" t="n"/>
      <c r="C480" s="7" t="n"/>
      <c r="D480" s="9" t="n"/>
      <c r="E480" s="7" t="n"/>
      <c r="F480" s="10">
        <f>IF(OR(B480="",C480="",D480="",C480=0),"",D480/C480)</f>
        <v/>
      </c>
    </row>
    <row r="481">
      <c r="A481" s="12" t="n"/>
      <c r="B481" s="7" t="n"/>
      <c r="C481" s="7" t="n"/>
      <c r="D481" s="9" t="n"/>
      <c r="E481" s="7" t="n"/>
      <c r="F481" s="10">
        <f>IF(OR(B481="",C481="",D481="",C481=0),"",D481/C481)</f>
        <v/>
      </c>
    </row>
    <row r="482">
      <c r="A482" s="12" t="n"/>
      <c r="B482" s="7" t="n"/>
      <c r="C482" s="7" t="n"/>
      <c r="D482" s="9" t="n"/>
      <c r="E482" s="7" t="n"/>
      <c r="F482" s="10">
        <f>IF(OR(B482="",C482="",D482="",C482=0),"",D482/C482)</f>
        <v/>
      </c>
    </row>
    <row r="483">
      <c r="A483" s="12" t="n"/>
      <c r="B483" s="7" t="n"/>
      <c r="C483" s="7" t="n"/>
      <c r="D483" s="9" t="n"/>
      <c r="E483" s="7" t="n"/>
      <c r="F483" s="10">
        <f>IF(OR(B483="",C483="",D483="",C483=0),"",D483/C483)</f>
        <v/>
      </c>
    </row>
    <row r="484">
      <c r="A484" s="12" t="n"/>
      <c r="B484" s="7" t="n"/>
      <c r="C484" s="7" t="n"/>
      <c r="D484" s="9" t="n"/>
      <c r="E484" s="7" t="n"/>
      <c r="F484" s="10">
        <f>IF(OR(B484="",C484="",D484="",C484=0),"",D484/C484)</f>
        <v/>
      </c>
    </row>
    <row r="485">
      <c r="A485" s="12" t="n"/>
      <c r="B485" s="7" t="n"/>
      <c r="C485" s="7" t="n"/>
      <c r="D485" s="9" t="n"/>
      <c r="E485" s="7" t="n"/>
      <c r="F485" s="10">
        <f>IF(OR(B485="",C485="",D485="",C485=0),"",D485/C485)</f>
        <v/>
      </c>
    </row>
    <row r="486">
      <c r="A486" s="12" t="n"/>
      <c r="B486" s="7" t="n"/>
      <c r="C486" s="7" t="n"/>
      <c r="D486" s="9" t="n"/>
      <c r="E486" s="7" t="n"/>
      <c r="F486" s="10">
        <f>IF(OR(B486="",C486="",D486="",C486=0),"",D486/C486)</f>
        <v/>
      </c>
    </row>
    <row r="487">
      <c r="A487" s="12" t="n"/>
      <c r="B487" s="7" t="n"/>
      <c r="C487" s="7" t="n"/>
      <c r="D487" s="9" t="n"/>
      <c r="E487" s="7" t="n"/>
      <c r="F487" s="10">
        <f>IF(OR(B487="",C487="",D487="",C487=0),"",D487/C487)</f>
        <v/>
      </c>
    </row>
    <row r="488">
      <c r="A488" s="12" t="n"/>
      <c r="B488" s="7" t="n"/>
      <c r="C488" s="7" t="n"/>
      <c r="D488" s="9" t="n"/>
      <c r="E488" s="7" t="n"/>
      <c r="F488" s="10">
        <f>IF(OR(B488="",C488="",D488="",C488=0),"",D488/C488)</f>
        <v/>
      </c>
    </row>
    <row r="489">
      <c r="A489" s="12" t="n"/>
      <c r="B489" s="7" t="n"/>
      <c r="C489" s="7" t="n"/>
      <c r="D489" s="9" t="n"/>
      <c r="E489" s="7" t="n"/>
      <c r="F489" s="10">
        <f>IF(OR(B489="",C489="",D489="",C489=0),"",D489/C489)</f>
        <v/>
      </c>
    </row>
    <row r="490">
      <c r="A490" s="12" t="n"/>
      <c r="B490" s="7" t="n"/>
      <c r="C490" s="7" t="n"/>
      <c r="D490" s="9" t="n"/>
      <c r="E490" s="7" t="n"/>
      <c r="F490" s="10">
        <f>IF(OR(B490="",C490="",D490="",C490=0),"",D490/C490)</f>
        <v/>
      </c>
    </row>
    <row r="491">
      <c r="A491" s="12" t="n"/>
      <c r="B491" s="7" t="n"/>
      <c r="C491" s="7" t="n"/>
      <c r="D491" s="9" t="n"/>
      <c r="E491" s="7" t="n"/>
      <c r="F491" s="10">
        <f>IF(OR(B491="",C491="",D491="",C491=0),"",D491/C491)</f>
        <v/>
      </c>
    </row>
    <row r="492">
      <c r="A492" s="12" t="n"/>
      <c r="B492" s="7" t="n"/>
      <c r="C492" s="7" t="n"/>
      <c r="D492" s="9" t="n"/>
      <c r="E492" s="7" t="n"/>
      <c r="F492" s="10">
        <f>IF(OR(B492="",C492="",D492="",C492=0),"",D492/C492)</f>
        <v/>
      </c>
    </row>
    <row r="493">
      <c r="A493" s="12" t="n"/>
      <c r="B493" s="7" t="n"/>
      <c r="C493" s="7" t="n"/>
      <c r="D493" s="9" t="n"/>
      <c r="E493" s="7" t="n"/>
      <c r="F493" s="10">
        <f>IF(OR(B493="",C493="",D493="",C493=0),"",D493/C493)</f>
        <v/>
      </c>
    </row>
    <row r="494">
      <c r="A494" s="12" t="n"/>
      <c r="B494" s="7" t="n"/>
      <c r="C494" s="7" t="n"/>
      <c r="D494" s="9" t="n"/>
      <c r="E494" s="7" t="n"/>
      <c r="F494" s="10">
        <f>IF(OR(B494="",C494="",D494="",C494=0),"",D494/C494)</f>
        <v/>
      </c>
    </row>
    <row r="495">
      <c r="A495" s="12" t="n"/>
      <c r="B495" s="7" t="n"/>
      <c r="C495" s="7" t="n"/>
      <c r="D495" s="9" t="n"/>
      <c r="E495" s="7" t="n"/>
      <c r="F495" s="10">
        <f>IF(OR(B495="",C495="",D495="",C495=0),"",D495/C495)</f>
        <v/>
      </c>
    </row>
    <row r="496">
      <c r="A496" s="12" t="n"/>
      <c r="B496" s="7" t="n"/>
      <c r="C496" s="7" t="n"/>
      <c r="D496" s="9" t="n"/>
      <c r="E496" s="7" t="n"/>
      <c r="F496" s="10">
        <f>IF(OR(B496="",C496="",D496="",C496=0),"",D496/C496)</f>
        <v/>
      </c>
    </row>
    <row r="497">
      <c r="A497" s="12" t="n"/>
      <c r="B497" s="7" t="n"/>
      <c r="C497" s="7" t="n"/>
      <c r="D497" s="9" t="n"/>
      <c r="E497" s="7" t="n"/>
      <c r="F497" s="10">
        <f>IF(OR(B497="",C497="",D497="",C497=0),"",D497/C497)</f>
        <v/>
      </c>
    </row>
    <row r="498">
      <c r="A498" s="12" t="n"/>
      <c r="B498" s="7" t="n"/>
      <c r="C498" s="7" t="n"/>
      <c r="D498" s="9" t="n"/>
      <c r="E498" s="7" t="n"/>
      <c r="F498" s="10">
        <f>IF(OR(B498="",C498="",D498="",C498=0),"",D498/C498)</f>
        <v/>
      </c>
    </row>
    <row r="499">
      <c r="A499" s="12" t="n"/>
      <c r="B499" s="7" t="n"/>
      <c r="C499" s="7" t="n"/>
      <c r="D499" s="9" t="n"/>
      <c r="E499" s="7" t="n"/>
      <c r="F499" s="10">
        <f>IF(OR(B499="",C499="",D499="",C499=0),"",D499/C499)</f>
        <v/>
      </c>
    </row>
    <row r="500">
      <c r="A500" s="12" t="n"/>
      <c r="B500" s="7" t="n"/>
      <c r="C500" s="7" t="n"/>
      <c r="D500" s="9" t="n"/>
      <c r="E500" s="7" t="n"/>
      <c r="F500" s="10">
        <f>IF(OR(B500="",C500="",D500="",C500=0),"",D500/C500)</f>
        <v/>
      </c>
    </row>
    <row r="501">
      <c r="A501" s="12" t="n"/>
      <c r="B501" s="7" t="n"/>
      <c r="C501" s="7" t="n"/>
      <c r="D501" s="9" t="n"/>
      <c r="E501" s="7" t="n"/>
      <c r="F501" s="10">
        <f>IF(OR(B501="",C501="",D501="",C501=0),"",D501/C501)</f>
        <v/>
      </c>
    </row>
    <row r="502">
      <c r="A502" s="12" t="n"/>
      <c r="B502" s="7" t="n"/>
      <c r="C502" s="7" t="n"/>
      <c r="D502" s="9" t="n"/>
      <c r="E502" s="7" t="n"/>
      <c r="F502" s="10">
        <f>IF(OR(B502="",C502="",D502="",C502=0),"",D502/C502)</f>
        <v/>
      </c>
    </row>
    <row r="503">
      <c r="A503" s="12" t="n"/>
      <c r="B503" s="7" t="n"/>
      <c r="C503" s="7" t="n"/>
      <c r="D503" s="9" t="n"/>
      <c r="E503" s="7" t="n"/>
      <c r="F503" s="10">
        <f>IF(OR(B503="",C503="",D503="",C503=0),"",D503/C503)</f>
        <v/>
      </c>
    </row>
    <row r="504">
      <c r="A504" s="12" t="n"/>
      <c r="B504" s="7" t="n"/>
      <c r="C504" s="7" t="n"/>
      <c r="D504" s="9" t="n"/>
      <c r="E504" s="7" t="n"/>
      <c r="F504" s="10">
        <f>IF(OR(B504="",C504="",D504="",C504=0),"",D504/C504)</f>
        <v/>
      </c>
    </row>
  </sheetData>
  <mergeCells count="2">
    <mergeCell ref="A2:E2"/>
    <mergeCell ref="A1:E1"/>
  </mergeCells>
  <dataValidations count="1">
    <dataValidation sqref="B5:B504" showDropDown="0" showInputMessage="0" showErrorMessage="0" allowBlank="1" type="list">
      <formula1>ListaInsumos</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504"/>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12" customWidth="1" min="3" max="3"/>
    <col width="22" customWidth="1" min="4" max="4"/>
    <col width="12" customWidth="1" min="5" max="5"/>
    <col width="45" customWidth="1" min="6" max="6"/>
  </cols>
  <sheetData>
    <row r="1">
      <c r="A1" s="14" t="inlineStr">
        <is>
          <t>⚠️ PÉRDIDAS - insumos dañados, mal impresos o extraviados</t>
        </is>
      </c>
    </row>
    <row r="2">
      <c r="A2" s="15" t="inlineStr">
        <is>
          <t>Si te equivocás o se daña un insumo, anotalo acá. El stock actual en INSUMOS se descuenta solo y ves cuánta plata perdiste.</t>
        </is>
      </c>
    </row>
    <row r="4">
      <c r="A4" s="4" t="inlineStr">
        <is>
          <t>Fecha</t>
        </is>
      </c>
      <c r="B4" s="4" t="inlineStr">
        <is>
          <t>Insumo</t>
        </is>
      </c>
      <c r="C4" s="4" t="inlineStr">
        <is>
          <t>Cantidad
perdida</t>
        </is>
      </c>
      <c r="D4" s="4" t="inlineStr">
        <is>
          <t>Motivo</t>
        </is>
      </c>
      <c r="E4" s="4" t="inlineStr">
        <is>
          <t>Costo
perdido</t>
        </is>
      </c>
      <c r="F4" s="4" t="inlineStr">
        <is>
          <t>Notas</t>
        </is>
      </c>
    </row>
    <row r="5">
      <c r="A5" s="12" t="n"/>
      <c r="B5" s="7" t="n"/>
      <c r="C5" s="7" t="n"/>
      <c r="D5" s="7" t="n"/>
      <c r="E5" s="10">
        <f>IF(OR(B5="",C5=""),"",IFERROR(C5*INDEX(INSUMOS!$K$5:$K$67,MATCH(B5,INSUMOS!$B$5:$B$67,0)),""))</f>
        <v/>
      </c>
      <c r="F5" s="7" t="n"/>
    </row>
    <row r="6">
      <c r="A6" s="12" t="n"/>
      <c r="B6" s="7" t="n"/>
      <c r="C6" s="7" t="n"/>
      <c r="D6" s="7" t="n"/>
      <c r="E6" s="10">
        <f>IF(OR(B6="",C6=""),"",IFERROR(C6*INDEX(INSUMOS!$K$5:$K$67,MATCH(B6,INSUMOS!$B$5:$B$67,0)),""))</f>
        <v/>
      </c>
      <c r="F6" s="7" t="n"/>
    </row>
    <row r="7">
      <c r="A7" s="12" t="n"/>
      <c r="B7" s="7" t="n"/>
      <c r="C7" s="7" t="n"/>
      <c r="D7" s="7" t="n"/>
      <c r="E7" s="10">
        <f>IF(OR(B7="",C7=""),"",IFERROR(C7*INDEX(INSUMOS!$K$5:$K$67,MATCH(B7,INSUMOS!$B$5:$B$67,0)),""))</f>
        <v/>
      </c>
      <c r="F7" s="7" t="n"/>
    </row>
    <row r="8">
      <c r="A8" s="12" t="n"/>
      <c r="B8" s="7" t="n"/>
      <c r="C8" s="7" t="n"/>
      <c r="D8" s="7" t="n"/>
      <c r="E8" s="10">
        <f>IF(OR(B8="",C8=""),"",IFERROR(C8*INDEX(INSUMOS!$K$5:$K$67,MATCH(B8,INSUMOS!$B$5:$B$67,0)),""))</f>
        <v/>
      </c>
      <c r="F8" s="7" t="n"/>
    </row>
    <row r="9">
      <c r="A9" s="12" t="n"/>
      <c r="B9" s="7" t="n"/>
      <c r="C9" s="7" t="n"/>
      <c r="D9" s="7" t="n"/>
      <c r="E9" s="10">
        <f>IF(OR(B9="",C9=""),"",IFERROR(C9*INDEX(INSUMOS!$K$5:$K$67,MATCH(B9,INSUMOS!$B$5:$B$67,0)),""))</f>
        <v/>
      </c>
      <c r="F9" s="7" t="n"/>
    </row>
    <row r="10">
      <c r="A10" s="12" t="n"/>
      <c r="B10" s="7" t="n"/>
      <c r="C10" s="7" t="n"/>
      <c r="D10" s="7" t="n"/>
      <c r="E10" s="10">
        <f>IF(OR(B10="",C10=""),"",IFERROR(C10*INDEX(INSUMOS!$K$5:$K$67,MATCH(B10,INSUMOS!$B$5:$B$67,0)),""))</f>
        <v/>
      </c>
      <c r="F10" s="7" t="n"/>
    </row>
    <row r="11">
      <c r="A11" s="12" t="n"/>
      <c r="B11" s="7" t="n"/>
      <c r="C11" s="7" t="n"/>
      <c r="D11" s="7" t="n"/>
      <c r="E11" s="10">
        <f>IF(OR(B11="",C11=""),"",IFERROR(C11*INDEX(INSUMOS!$K$5:$K$67,MATCH(B11,INSUMOS!$B$5:$B$67,0)),""))</f>
        <v/>
      </c>
      <c r="F11" s="7" t="n"/>
    </row>
    <row r="12">
      <c r="A12" s="12" t="n"/>
      <c r="B12" s="7" t="n"/>
      <c r="C12" s="7" t="n"/>
      <c r="D12" s="7" t="n"/>
      <c r="E12" s="10">
        <f>IF(OR(B12="",C12=""),"",IFERROR(C12*INDEX(INSUMOS!$K$5:$K$67,MATCH(B12,INSUMOS!$B$5:$B$67,0)),""))</f>
        <v/>
      </c>
      <c r="F12" s="7" t="n"/>
    </row>
    <row r="13">
      <c r="A13" s="12" t="n"/>
      <c r="B13" s="7" t="n"/>
      <c r="C13" s="7" t="n"/>
      <c r="D13" s="7" t="n"/>
      <c r="E13" s="10">
        <f>IF(OR(B13="",C13=""),"",IFERROR(C13*INDEX(INSUMOS!$K$5:$K$67,MATCH(B13,INSUMOS!$B$5:$B$67,0)),""))</f>
        <v/>
      </c>
      <c r="F13" s="7" t="n"/>
    </row>
    <row r="14">
      <c r="A14" s="12" t="n"/>
      <c r="B14" s="7" t="n"/>
      <c r="C14" s="7" t="n"/>
      <c r="D14" s="7" t="n"/>
      <c r="E14" s="10">
        <f>IF(OR(B14="",C14=""),"",IFERROR(C14*INDEX(INSUMOS!$K$5:$K$67,MATCH(B14,INSUMOS!$B$5:$B$67,0)),""))</f>
        <v/>
      </c>
      <c r="F14" s="7" t="n"/>
    </row>
    <row r="15">
      <c r="A15" s="12" t="n"/>
      <c r="B15" s="7" t="n"/>
      <c r="C15" s="7" t="n"/>
      <c r="D15" s="7" t="n"/>
      <c r="E15" s="10">
        <f>IF(OR(B15="",C15=""),"",IFERROR(C15*INDEX(INSUMOS!$K$5:$K$67,MATCH(B15,INSUMOS!$B$5:$B$67,0)),""))</f>
        <v/>
      </c>
      <c r="F15" s="7" t="n"/>
    </row>
    <row r="16">
      <c r="A16" s="12" t="n"/>
      <c r="B16" s="7" t="n"/>
      <c r="C16" s="7" t="n"/>
      <c r="D16" s="7" t="n"/>
      <c r="E16" s="10">
        <f>IF(OR(B16="",C16=""),"",IFERROR(C16*INDEX(INSUMOS!$K$5:$K$67,MATCH(B16,INSUMOS!$B$5:$B$67,0)),""))</f>
        <v/>
      </c>
      <c r="F16" s="7" t="n"/>
    </row>
    <row r="17">
      <c r="A17" s="12" t="n"/>
      <c r="B17" s="7" t="n"/>
      <c r="C17" s="7" t="n"/>
      <c r="D17" s="7" t="n"/>
      <c r="E17" s="10">
        <f>IF(OR(B17="",C17=""),"",IFERROR(C17*INDEX(INSUMOS!$K$5:$K$67,MATCH(B17,INSUMOS!$B$5:$B$67,0)),""))</f>
        <v/>
      </c>
      <c r="F17" s="7" t="n"/>
    </row>
    <row r="18">
      <c r="A18" s="12" t="n"/>
      <c r="B18" s="7" t="n"/>
      <c r="C18" s="7" t="n"/>
      <c r="D18" s="7" t="n"/>
      <c r="E18" s="10">
        <f>IF(OR(B18="",C18=""),"",IFERROR(C18*INDEX(INSUMOS!$K$5:$K$67,MATCH(B18,INSUMOS!$B$5:$B$67,0)),""))</f>
        <v/>
      </c>
      <c r="F18" s="7" t="n"/>
    </row>
    <row r="19">
      <c r="A19" s="12" t="n"/>
      <c r="B19" s="7" t="n"/>
      <c r="C19" s="7" t="n"/>
      <c r="D19" s="7" t="n"/>
      <c r="E19" s="10">
        <f>IF(OR(B19="",C19=""),"",IFERROR(C19*INDEX(INSUMOS!$K$5:$K$67,MATCH(B19,INSUMOS!$B$5:$B$67,0)),""))</f>
        <v/>
      </c>
      <c r="F19" s="7" t="n"/>
    </row>
    <row r="20">
      <c r="A20" s="12" t="n"/>
      <c r="B20" s="7" t="n"/>
      <c r="C20" s="7" t="n"/>
      <c r="D20" s="7" t="n"/>
      <c r="E20" s="10">
        <f>IF(OR(B20="",C20=""),"",IFERROR(C20*INDEX(INSUMOS!$K$5:$K$67,MATCH(B20,INSUMOS!$B$5:$B$67,0)),""))</f>
        <v/>
      </c>
      <c r="F20" s="7" t="n"/>
    </row>
    <row r="21">
      <c r="A21" s="12" t="n"/>
      <c r="B21" s="7" t="n"/>
      <c r="C21" s="7" t="n"/>
      <c r="D21" s="7" t="n"/>
      <c r="E21" s="10">
        <f>IF(OR(B21="",C21=""),"",IFERROR(C21*INDEX(INSUMOS!$K$5:$K$67,MATCH(B21,INSUMOS!$B$5:$B$67,0)),""))</f>
        <v/>
      </c>
      <c r="F21" s="7" t="n"/>
    </row>
    <row r="22">
      <c r="A22" s="12" t="n"/>
      <c r="B22" s="7" t="n"/>
      <c r="C22" s="7" t="n"/>
      <c r="D22" s="7" t="n"/>
      <c r="E22" s="10">
        <f>IF(OR(B22="",C22=""),"",IFERROR(C22*INDEX(INSUMOS!$K$5:$K$67,MATCH(B22,INSUMOS!$B$5:$B$67,0)),""))</f>
        <v/>
      </c>
      <c r="F22" s="7" t="n"/>
    </row>
    <row r="23">
      <c r="A23" s="12" t="n"/>
      <c r="B23" s="7" t="n"/>
      <c r="C23" s="7" t="n"/>
      <c r="D23" s="7" t="n"/>
      <c r="E23" s="10">
        <f>IF(OR(B23="",C23=""),"",IFERROR(C23*INDEX(INSUMOS!$K$5:$K$67,MATCH(B23,INSUMOS!$B$5:$B$67,0)),""))</f>
        <v/>
      </c>
      <c r="F23" s="7" t="n"/>
    </row>
    <row r="24">
      <c r="A24" s="12" t="n"/>
      <c r="B24" s="7" t="n"/>
      <c r="C24" s="7" t="n"/>
      <c r="D24" s="7" t="n"/>
      <c r="E24" s="10">
        <f>IF(OR(B24="",C24=""),"",IFERROR(C24*INDEX(INSUMOS!$K$5:$K$67,MATCH(B24,INSUMOS!$B$5:$B$67,0)),""))</f>
        <v/>
      </c>
      <c r="F24" s="7" t="n"/>
    </row>
    <row r="25">
      <c r="A25" s="12" t="n"/>
      <c r="B25" s="7" t="n"/>
      <c r="C25" s="7" t="n"/>
      <c r="D25" s="7" t="n"/>
      <c r="E25" s="10">
        <f>IF(OR(B25="",C25=""),"",IFERROR(C25*INDEX(INSUMOS!$K$5:$K$67,MATCH(B25,INSUMOS!$B$5:$B$67,0)),""))</f>
        <v/>
      </c>
      <c r="F25" s="7" t="n"/>
    </row>
    <row r="26">
      <c r="A26" s="12" t="n"/>
      <c r="B26" s="7" t="n"/>
      <c r="C26" s="7" t="n"/>
      <c r="D26" s="7" t="n"/>
      <c r="E26" s="10">
        <f>IF(OR(B26="",C26=""),"",IFERROR(C26*INDEX(INSUMOS!$K$5:$K$67,MATCH(B26,INSUMOS!$B$5:$B$67,0)),""))</f>
        <v/>
      </c>
      <c r="F26" s="7" t="n"/>
    </row>
    <row r="27">
      <c r="A27" s="12" t="n"/>
      <c r="B27" s="7" t="n"/>
      <c r="C27" s="7" t="n"/>
      <c r="D27" s="7" t="n"/>
      <c r="E27" s="10">
        <f>IF(OR(B27="",C27=""),"",IFERROR(C27*INDEX(INSUMOS!$K$5:$K$67,MATCH(B27,INSUMOS!$B$5:$B$67,0)),""))</f>
        <v/>
      </c>
      <c r="F27" s="7" t="n"/>
    </row>
    <row r="28">
      <c r="A28" s="12" t="n"/>
      <c r="B28" s="7" t="n"/>
      <c r="C28" s="7" t="n"/>
      <c r="D28" s="7" t="n"/>
      <c r="E28" s="10">
        <f>IF(OR(B28="",C28=""),"",IFERROR(C28*INDEX(INSUMOS!$K$5:$K$67,MATCH(B28,INSUMOS!$B$5:$B$67,0)),""))</f>
        <v/>
      </c>
      <c r="F28" s="7" t="n"/>
    </row>
    <row r="29">
      <c r="A29" s="12" t="n"/>
      <c r="B29" s="7" t="n"/>
      <c r="C29" s="7" t="n"/>
      <c r="D29" s="7" t="n"/>
      <c r="E29" s="10">
        <f>IF(OR(B29="",C29=""),"",IFERROR(C29*INDEX(INSUMOS!$K$5:$K$67,MATCH(B29,INSUMOS!$B$5:$B$67,0)),""))</f>
        <v/>
      </c>
      <c r="F29" s="7" t="n"/>
    </row>
    <row r="30">
      <c r="A30" s="12" t="n"/>
      <c r="B30" s="7" t="n"/>
      <c r="C30" s="7" t="n"/>
      <c r="D30" s="7" t="n"/>
      <c r="E30" s="10">
        <f>IF(OR(B30="",C30=""),"",IFERROR(C30*INDEX(INSUMOS!$K$5:$K$67,MATCH(B30,INSUMOS!$B$5:$B$67,0)),""))</f>
        <v/>
      </c>
      <c r="F30" s="7" t="n"/>
    </row>
    <row r="31">
      <c r="A31" s="12" t="n"/>
      <c r="B31" s="7" t="n"/>
      <c r="C31" s="7" t="n"/>
      <c r="D31" s="7" t="n"/>
      <c r="E31" s="10">
        <f>IF(OR(B31="",C31=""),"",IFERROR(C31*INDEX(INSUMOS!$K$5:$K$67,MATCH(B31,INSUMOS!$B$5:$B$67,0)),""))</f>
        <v/>
      </c>
      <c r="F31" s="7" t="n"/>
    </row>
    <row r="32">
      <c r="A32" s="12" t="n"/>
      <c r="B32" s="7" t="n"/>
      <c r="C32" s="7" t="n"/>
      <c r="D32" s="7" t="n"/>
      <c r="E32" s="10">
        <f>IF(OR(B32="",C32=""),"",IFERROR(C32*INDEX(INSUMOS!$K$5:$K$67,MATCH(B32,INSUMOS!$B$5:$B$67,0)),""))</f>
        <v/>
      </c>
      <c r="F32" s="7" t="n"/>
    </row>
    <row r="33">
      <c r="A33" s="12" t="n"/>
      <c r="B33" s="7" t="n"/>
      <c r="C33" s="7" t="n"/>
      <c r="D33" s="7" t="n"/>
      <c r="E33" s="10">
        <f>IF(OR(B33="",C33=""),"",IFERROR(C33*INDEX(INSUMOS!$K$5:$K$67,MATCH(B33,INSUMOS!$B$5:$B$67,0)),""))</f>
        <v/>
      </c>
      <c r="F33" s="7" t="n"/>
    </row>
    <row r="34">
      <c r="A34" s="12" t="n"/>
      <c r="B34" s="7" t="n"/>
      <c r="C34" s="7" t="n"/>
      <c r="D34" s="7" t="n"/>
      <c r="E34" s="10">
        <f>IF(OR(B34="",C34=""),"",IFERROR(C34*INDEX(INSUMOS!$K$5:$K$67,MATCH(B34,INSUMOS!$B$5:$B$67,0)),""))</f>
        <v/>
      </c>
      <c r="F34" s="7" t="n"/>
    </row>
    <row r="35">
      <c r="A35" s="12" t="n"/>
      <c r="B35" s="7" t="n"/>
      <c r="C35" s="7" t="n"/>
      <c r="D35" s="7" t="n"/>
      <c r="E35" s="10">
        <f>IF(OR(B35="",C35=""),"",IFERROR(C35*INDEX(INSUMOS!$K$5:$K$67,MATCH(B35,INSUMOS!$B$5:$B$67,0)),""))</f>
        <v/>
      </c>
      <c r="F35" s="7" t="n"/>
    </row>
    <row r="36">
      <c r="A36" s="12" t="n"/>
      <c r="B36" s="7" t="n"/>
      <c r="C36" s="7" t="n"/>
      <c r="D36" s="7" t="n"/>
      <c r="E36" s="10">
        <f>IF(OR(B36="",C36=""),"",IFERROR(C36*INDEX(INSUMOS!$K$5:$K$67,MATCH(B36,INSUMOS!$B$5:$B$67,0)),""))</f>
        <v/>
      </c>
      <c r="F36" s="7" t="n"/>
    </row>
    <row r="37">
      <c r="A37" s="12" t="n"/>
      <c r="B37" s="7" t="n"/>
      <c r="C37" s="7" t="n"/>
      <c r="D37" s="7" t="n"/>
      <c r="E37" s="10">
        <f>IF(OR(B37="",C37=""),"",IFERROR(C37*INDEX(INSUMOS!$K$5:$K$67,MATCH(B37,INSUMOS!$B$5:$B$67,0)),""))</f>
        <v/>
      </c>
      <c r="F37" s="7" t="n"/>
    </row>
    <row r="38">
      <c r="A38" s="12" t="n"/>
      <c r="B38" s="7" t="n"/>
      <c r="C38" s="7" t="n"/>
      <c r="D38" s="7" t="n"/>
      <c r="E38" s="10">
        <f>IF(OR(B38="",C38=""),"",IFERROR(C38*INDEX(INSUMOS!$K$5:$K$67,MATCH(B38,INSUMOS!$B$5:$B$67,0)),""))</f>
        <v/>
      </c>
      <c r="F38" s="7" t="n"/>
    </row>
    <row r="39">
      <c r="A39" s="12" t="n"/>
      <c r="B39" s="7" t="n"/>
      <c r="C39" s="7" t="n"/>
      <c r="D39" s="7" t="n"/>
      <c r="E39" s="10">
        <f>IF(OR(B39="",C39=""),"",IFERROR(C39*INDEX(INSUMOS!$K$5:$K$67,MATCH(B39,INSUMOS!$B$5:$B$67,0)),""))</f>
        <v/>
      </c>
      <c r="F39" s="7" t="n"/>
    </row>
    <row r="40">
      <c r="A40" s="12" t="n"/>
      <c r="B40" s="7" t="n"/>
      <c r="C40" s="7" t="n"/>
      <c r="D40" s="7" t="n"/>
      <c r="E40" s="10">
        <f>IF(OR(B40="",C40=""),"",IFERROR(C40*INDEX(INSUMOS!$K$5:$K$67,MATCH(B40,INSUMOS!$B$5:$B$67,0)),""))</f>
        <v/>
      </c>
      <c r="F40" s="7" t="n"/>
    </row>
    <row r="41">
      <c r="A41" s="12" t="n"/>
      <c r="B41" s="7" t="n"/>
      <c r="C41" s="7" t="n"/>
      <c r="D41" s="7" t="n"/>
      <c r="E41" s="10">
        <f>IF(OR(B41="",C41=""),"",IFERROR(C41*INDEX(INSUMOS!$K$5:$K$67,MATCH(B41,INSUMOS!$B$5:$B$67,0)),""))</f>
        <v/>
      </c>
      <c r="F41" s="7" t="n"/>
    </row>
    <row r="42">
      <c r="A42" s="12" t="n"/>
      <c r="B42" s="7" t="n"/>
      <c r="C42" s="7" t="n"/>
      <c r="D42" s="7" t="n"/>
      <c r="E42" s="10">
        <f>IF(OR(B42="",C42=""),"",IFERROR(C42*INDEX(INSUMOS!$K$5:$K$67,MATCH(B42,INSUMOS!$B$5:$B$67,0)),""))</f>
        <v/>
      </c>
      <c r="F42" s="7" t="n"/>
    </row>
    <row r="43">
      <c r="A43" s="12" t="n"/>
      <c r="B43" s="7" t="n"/>
      <c r="C43" s="7" t="n"/>
      <c r="D43" s="7" t="n"/>
      <c r="E43" s="10">
        <f>IF(OR(B43="",C43=""),"",IFERROR(C43*INDEX(INSUMOS!$K$5:$K$67,MATCH(B43,INSUMOS!$B$5:$B$67,0)),""))</f>
        <v/>
      </c>
      <c r="F43" s="7" t="n"/>
    </row>
    <row r="44">
      <c r="A44" s="12" t="n"/>
      <c r="B44" s="7" t="n"/>
      <c r="C44" s="7" t="n"/>
      <c r="D44" s="7" t="n"/>
      <c r="E44" s="10">
        <f>IF(OR(B44="",C44=""),"",IFERROR(C44*INDEX(INSUMOS!$K$5:$K$67,MATCH(B44,INSUMOS!$B$5:$B$67,0)),""))</f>
        <v/>
      </c>
      <c r="F44" s="7" t="n"/>
    </row>
    <row r="45">
      <c r="A45" s="12" t="n"/>
      <c r="B45" s="7" t="n"/>
      <c r="C45" s="7" t="n"/>
      <c r="D45" s="7" t="n"/>
      <c r="E45" s="10">
        <f>IF(OR(B45="",C45=""),"",IFERROR(C45*INDEX(INSUMOS!$K$5:$K$67,MATCH(B45,INSUMOS!$B$5:$B$67,0)),""))</f>
        <v/>
      </c>
      <c r="F45" s="7" t="n"/>
    </row>
    <row r="46">
      <c r="A46" s="12" t="n"/>
      <c r="B46" s="7" t="n"/>
      <c r="C46" s="7" t="n"/>
      <c r="D46" s="7" t="n"/>
      <c r="E46" s="10">
        <f>IF(OR(B46="",C46=""),"",IFERROR(C46*INDEX(INSUMOS!$K$5:$K$67,MATCH(B46,INSUMOS!$B$5:$B$67,0)),""))</f>
        <v/>
      </c>
      <c r="F46" s="7" t="n"/>
    </row>
    <row r="47">
      <c r="A47" s="12" t="n"/>
      <c r="B47" s="7" t="n"/>
      <c r="C47" s="7" t="n"/>
      <c r="D47" s="7" t="n"/>
      <c r="E47" s="10">
        <f>IF(OR(B47="",C47=""),"",IFERROR(C47*INDEX(INSUMOS!$K$5:$K$67,MATCH(B47,INSUMOS!$B$5:$B$67,0)),""))</f>
        <v/>
      </c>
      <c r="F47" s="7" t="n"/>
    </row>
    <row r="48">
      <c r="A48" s="12" t="n"/>
      <c r="B48" s="7" t="n"/>
      <c r="C48" s="7" t="n"/>
      <c r="D48" s="7" t="n"/>
      <c r="E48" s="10">
        <f>IF(OR(B48="",C48=""),"",IFERROR(C48*INDEX(INSUMOS!$K$5:$K$67,MATCH(B48,INSUMOS!$B$5:$B$67,0)),""))</f>
        <v/>
      </c>
      <c r="F48" s="7" t="n"/>
    </row>
    <row r="49">
      <c r="A49" s="12" t="n"/>
      <c r="B49" s="7" t="n"/>
      <c r="C49" s="7" t="n"/>
      <c r="D49" s="7" t="n"/>
      <c r="E49" s="10">
        <f>IF(OR(B49="",C49=""),"",IFERROR(C49*INDEX(INSUMOS!$K$5:$K$67,MATCH(B49,INSUMOS!$B$5:$B$67,0)),""))</f>
        <v/>
      </c>
      <c r="F49" s="7" t="n"/>
    </row>
    <row r="50">
      <c r="A50" s="12" t="n"/>
      <c r="B50" s="7" t="n"/>
      <c r="C50" s="7" t="n"/>
      <c r="D50" s="7" t="n"/>
      <c r="E50" s="10">
        <f>IF(OR(B50="",C50=""),"",IFERROR(C50*INDEX(INSUMOS!$K$5:$K$67,MATCH(B50,INSUMOS!$B$5:$B$67,0)),""))</f>
        <v/>
      </c>
      <c r="F50" s="7" t="n"/>
    </row>
    <row r="51">
      <c r="A51" s="12" t="n"/>
      <c r="B51" s="7" t="n"/>
      <c r="C51" s="7" t="n"/>
      <c r="D51" s="7" t="n"/>
      <c r="E51" s="10">
        <f>IF(OR(B51="",C51=""),"",IFERROR(C51*INDEX(INSUMOS!$K$5:$K$67,MATCH(B51,INSUMOS!$B$5:$B$67,0)),""))</f>
        <v/>
      </c>
      <c r="F51" s="7" t="n"/>
    </row>
    <row r="52">
      <c r="A52" s="12" t="n"/>
      <c r="B52" s="7" t="n"/>
      <c r="C52" s="7" t="n"/>
      <c r="D52" s="7" t="n"/>
      <c r="E52" s="10">
        <f>IF(OR(B52="",C52=""),"",IFERROR(C52*INDEX(INSUMOS!$K$5:$K$67,MATCH(B52,INSUMOS!$B$5:$B$67,0)),""))</f>
        <v/>
      </c>
      <c r="F52" s="7" t="n"/>
    </row>
    <row r="53">
      <c r="A53" s="12" t="n"/>
      <c r="B53" s="7" t="n"/>
      <c r="C53" s="7" t="n"/>
      <c r="D53" s="7" t="n"/>
      <c r="E53" s="10">
        <f>IF(OR(B53="",C53=""),"",IFERROR(C53*INDEX(INSUMOS!$K$5:$K$67,MATCH(B53,INSUMOS!$B$5:$B$67,0)),""))</f>
        <v/>
      </c>
      <c r="F53" s="7" t="n"/>
    </row>
    <row r="54">
      <c r="A54" s="12" t="n"/>
      <c r="B54" s="7" t="n"/>
      <c r="C54" s="7" t="n"/>
      <c r="D54" s="7" t="n"/>
      <c r="E54" s="10">
        <f>IF(OR(B54="",C54=""),"",IFERROR(C54*INDEX(INSUMOS!$K$5:$K$67,MATCH(B54,INSUMOS!$B$5:$B$67,0)),""))</f>
        <v/>
      </c>
      <c r="F54" s="7" t="n"/>
    </row>
    <row r="55">
      <c r="A55" s="12" t="n"/>
      <c r="B55" s="7" t="n"/>
      <c r="C55" s="7" t="n"/>
      <c r="D55" s="7" t="n"/>
      <c r="E55" s="10">
        <f>IF(OR(B55="",C55=""),"",IFERROR(C55*INDEX(INSUMOS!$K$5:$K$67,MATCH(B55,INSUMOS!$B$5:$B$67,0)),""))</f>
        <v/>
      </c>
      <c r="F55" s="7" t="n"/>
    </row>
    <row r="56">
      <c r="A56" s="12" t="n"/>
      <c r="B56" s="7" t="n"/>
      <c r="C56" s="7" t="n"/>
      <c r="D56" s="7" t="n"/>
      <c r="E56" s="10">
        <f>IF(OR(B56="",C56=""),"",IFERROR(C56*INDEX(INSUMOS!$K$5:$K$67,MATCH(B56,INSUMOS!$B$5:$B$67,0)),""))</f>
        <v/>
      </c>
      <c r="F56" s="7" t="n"/>
    </row>
    <row r="57">
      <c r="A57" s="12" t="n"/>
      <c r="B57" s="7" t="n"/>
      <c r="C57" s="7" t="n"/>
      <c r="D57" s="7" t="n"/>
      <c r="E57" s="10">
        <f>IF(OR(B57="",C57=""),"",IFERROR(C57*INDEX(INSUMOS!$K$5:$K$67,MATCH(B57,INSUMOS!$B$5:$B$67,0)),""))</f>
        <v/>
      </c>
      <c r="F57" s="7" t="n"/>
    </row>
    <row r="58">
      <c r="A58" s="12" t="n"/>
      <c r="B58" s="7" t="n"/>
      <c r="C58" s="7" t="n"/>
      <c r="D58" s="7" t="n"/>
      <c r="E58" s="10">
        <f>IF(OR(B58="",C58=""),"",IFERROR(C58*INDEX(INSUMOS!$K$5:$K$67,MATCH(B58,INSUMOS!$B$5:$B$67,0)),""))</f>
        <v/>
      </c>
      <c r="F58" s="7" t="n"/>
    </row>
    <row r="59">
      <c r="A59" s="12" t="n"/>
      <c r="B59" s="7" t="n"/>
      <c r="C59" s="7" t="n"/>
      <c r="D59" s="7" t="n"/>
      <c r="E59" s="10">
        <f>IF(OR(B59="",C59=""),"",IFERROR(C59*INDEX(INSUMOS!$K$5:$K$67,MATCH(B59,INSUMOS!$B$5:$B$67,0)),""))</f>
        <v/>
      </c>
      <c r="F59" s="7" t="n"/>
    </row>
    <row r="60">
      <c r="A60" s="12" t="n"/>
      <c r="B60" s="7" t="n"/>
      <c r="C60" s="7" t="n"/>
      <c r="D60" s="7" t="n"/>
      <c r="E60" s="10">
        <f>IF(OR(B60="",C60=""),"",IFERROR(C60*INDEX(INSUMOS!$K$5:$K$67,MATCH(B60,INSUMOS!$B$5:$B$67,0)),""))</f>
        <v/>
      </c>
      <c r="F60" s="7" t="n"/>
    </row>
    <row r="61">
      <c r="A61" s="12" t="n"/>
      <c r="B61" s="7" t="n"/>
      <c r="C61" s="7" t="n"/>
      <c r="D61" s="7" t="n"/>
      <c r="E61" s="10">
        <f>IF(OR(B61="",C61=""),"",IFERROR(C61*INDEX(INSUMOS!$K$5:$K$67,MATCH(B61,INSUMOS!$B$5:$B$67,0)),""))</f>
        <v/>
      </c>
      <c r="F61" s="7" t="n"/>
    </row>
    <row r="62">
      <c r="A62" s="12" t="n"/>
      <c r="B62" s="7" t="n"/>
      <c r="C62" s="7" t="n"/>
      <c r="D62" s="7" t="n"/>
      <c r="E62" s="10">
        <f>IF(OR(B62="",C62=""),"",IFERROR(C62*INDEX(INSUMOS!$K$5:$K$67,MATCH(B62,INSUMOS!$B$5:$B$67,0)),""))</f>
        <v/>
      </c>
      <c r="F62" s="7" t="n"/>
    </row>
    <row r="63">
      <c r="A63" s="12" t="n"/>
      <c r="B63" s="7" t="n"/>
      <c r="C63" s="7" t="n"/>
      <c r="D63" s="7" t="n"/>
      <c r="E63" s="10">
        <f>IF(OR(B63="",C63=""),"",IFERROR(C63*INDEX(INSUMOS!$K$5:$K$67,MATCH(B63,INSUMOS!$B$5:$B$67,0)),""))</f>
        <v/>
      </c>
      <c r="F63" s="7" t="n"/>
    </row>
    <row r="64">
      <c r="A64" s="12" t="n"/>
      <c r="B64" s="7" t="n"/>
      <c r="C64" s="7" t="n"/>
      <c r="D64" s="7" t="n"/>
      <c r="E64" s="10">
        <f>IF(OR(B64="",C64=""),"",IFERROR(C64*INDEX(INSUMOS!$K$5:$K$67,MATCH(B64,INSUMOS!$B$5:$B$67,0)),""))</f>
        <v/>
      </c>
      <c r="F64" s="7" t="n"/>
    </row>
    <row r="65">
      <c r="A65" s="12" t="n"/>
      <c r="B65" s="7" t="n"/>
      <c r="C65" s="7" t="n"/>
      <c r="D65" s="7" t="n"/>
      <c r="E65" s="10">
        <f>IF(OR(B65="",C65=""),"",IFERROR(C65*INDEX(INSUMOS!$K$5:$K$67,MATCH(B65,INSUMOS!$B$5:$B$67,0)),""))</f>
        <v/>
      </c>
      <c r="F65" s="7" t="n"/>
    </row>
    <row r="66">
      <c r="A66" s="12" t="n"/>
      <c r="B66" s="7" t="n"/>
      <c r="C66" s="7" t="n"/>
      <c r="D66" s="7" t="n"/>
      <c r="E66" s="10">
        <f>IF(OR(B66="",C66=""),"",IFERROR(C66*INDEX(INSUMOS!$K$5:$K$67,MATCH(B66,INSUMOS!$B$5:$B$67,0)),""))</f>
        <v/>
      </c>
      <c r="F66" s="7" t="n"/>
    </row>
    <row r="67">
      <c r="A67" s="12" t="n"/>
      <c r="B67" s="7" t="n"/>
      <c r="C67" s="7" t="n"/>
      <c r="D67" s="7" t="n"/>
      <c r="E67" s="10">
        <f>IF(OR(B67="",C67=""),"",IFERROR(C67*INDEX(INSUMOS!$K$5:$K$67,MATCH(B67,INSUMOS!$B$5:$B$67,0)),""))</f>
        <v/>
      </c>
      <c r="F67" s="7" t="n"/>
    </row>
    <row r="68">
      <c r="A68" s="12" t="n"/>
      <c r="B68" s="7" t="n"/>
      <c r="C68" s="7" t="n"/>
      <c r="D68" s="7" t="n"/>
      <c r="E68" s="10">
        <f>IF(OR(B68="",C68=""),"",IFERROR(C68*INDEX(INSUMOS!$K$5:$K$67,MATCH(B68,INSUMOS!$B$5:$B$67,0)),""))</f>
        <v/>
      </c>
      <c r="F68" s="7" t="n"/>
    </row>
    <row r="69">
      <c r="A69" s="12" t="n"/>
      <c r="B69" s="7" t="n"/>
      <c r="C69" s="7" t="n"/>
      <c r="D69" s="7" t="n"/>
      <c r="E69" s="10">
        <f>IF(OR(B69="",C69=""),"",IFERROR(C69*INDEX(INSUMOS!$K$5:$K$67,MATCH(B69,INSUMOS!$B$5:$B$67,0)),""))</f>
        <v/>
      </c>
      <c r="F69" s="7" t="n"/>
    </row>
    <row r="70">
      <c r="A70" s="12" t="n"/>
      <c r="B70" s="7" t="n"/>
      <c r="C70" s="7" t="n"/>
      <c r="D70" s="7" t="n"/>
      <c r="E70" s="10">
        <f>IF(OR(B70="",C70=""),"",IFERROR(C70*INDEX(INSUMOS!$K$5:$K$67,MATCH(B70,INSUMOS!$B$5:$B$67,0)),""))</f>
        <v/>
      </c>
      <c r="F70" s="7" t="n"/>
    </row>
    <row r="71">
      <c r="A71" s="12" t="n"/>
      <c r="B71" s="7" t="n"/>
      <c r="C71" s="7" t="n"/>
      <c r="D71" s="7" t="n"/>
      <c r="E71" s="10">
        <f>IF(OR(B71="",C71=""),"",IFERROR(C71*INDEX(INSUMOS!$K$5:$K$67,MATCH(B71,INSUMOS!$B$5:$B$67,0)),""))</f>
        <v/>
      </c>
      <c r="F71" s="7" t="n"/>
    </row>
    <row r="72">
      <c r="A72" s="12" t="n"/>
      <c r="B72" s="7" t="n"/>
      <c r="C72" s="7" t="n"/>
      <c r="D72" s="7" t="n"/>
      <c r="E72" s="10">
        <f>IF(OR(B72="",C72=""),"",IFERROR(C72*INDEX(INSUMOS!$K$5:$K$67,MATCH(B72,INSUMOS!$B$5:$B$67,0)),""))</f>
        <v/>
      </c>
      <c r="F72" s="7" t="n"/>
    </row>
    <row r="73">
      <c r="A73" s="12" t="n"/>
      <c r="B73" s="7" t="n"/>
      <c r="C73" s="7" t="n"/>
      <c r="D73" s="7" t="n"/>
      <c r="E73" s="10">
        <f>IF(OR(B73="",C73=""),"",IFERROR(C73*INDEX(INSUMOS!$K$5:$K$67,MATCH(B73,INSUMOS!$B$5:$B$67,0)),""))</f>
        <v/>
      </c>
      <c r="F73" s="7" t="n"/>
    </row>
    <row r="74">
      <c r="A74" s="12" t="n"/>
      <c r="B74" s="7" t="n"/>
      <c r="C74" s="7" t="n"/>
      <c r="D74" s="7" t="n"/>
      <c r="E74" s="10">
        <f>IF(OR(B74="",C74=""),"",IFERROR(C74*INDEX(INSUMOS!$K$5:$K$67,MATCH(B74,INSUMOS!$B$5:$B$67,0)),""))</f>
        <v/>
      </c>
      <c r="F74" s="7" t="n"/>
    </row>
    <row r="75">
      <c r="A75" s="12" t="n"/>
      <c r="B75" s="7" t="n"/>
      <c r="C75" s="7" t="n"/>
      <c r="D75" s="7" t="n"/>
      <c r="E75" s="10">
        <f>IF(OR(B75="",C75=""),"",IFERROR(C75*INDEX(INSUMOS!$K$5:$K$67,MATCH(B75,INSUMOS!$B$5:$B$67,0)),""))</f>
        <v/>
      </c>
      <c r="F75" s="7" t="n"/>
    </row>
    <row r="76">
      <c r="A76" s="12" t="n"/>
      <c r="B76" s="7" t="n"/>
      <c r="C76" s="7" t="n"/>
      <c r="D76" s="7" t="n"/>
      <c r="E76" s="10">
        <f>IF(OR(B76="",C76=""),"",IFERROR(C76*INDEX(INSUMOS!$K$5:$K$67,MATCH(B76,INSUMOS!$B$5:$B$67,0)),""))</f>
        <v/>
      </c>
      <c r="F76" s="7" t="n"/>
    </row>
    <row r="77">
      <c r="A77" s="12" t="n"/>
      <c r="B77" s="7" t="n"/>
      <c r="C77" s="7" t="n"/>
      <c r="D77" s="7" t="n"/>
      <c r="E77" s="10">
        <f>IF(OR(B77="",C77=""),"",IFERROR(C77*INDEX(INSUMOS!$K$5:$K$67,MATCH(B77,INSUMOS!$B$5:$B$67,0)),""))</f>
        <v/>
      </c>
      <c r="F77" s="7" t="n"/>
    </row>
    <row r="78">
      <c r="A78" s="12" t="n"/>
      <c r="B78" s="7" t="n"/>
      <c r="C78" s="7" t="n"/>
      <c r="D78" s="7" t="n"/>
      <c r="E78" s="10">
        <f>IF(OR(B78="",C78=""),"",IFERROR(C78*INDEX(INSUMOS!$K$5:$K$67,MATCH(B78,INSUMOS!$B$5:$B$67,0)),""))</f>
        <v/>
      </c>
      <c r="F78" s="7" t="n"/>
    </row>
    <row r="79">
      <c r="A79" s="12" t="n"/>
      <c r="B79" s="7" t="n"/>
      <c r="C79" s="7" t="n"/>
      <c r="D79" s="7" t="n"/>
      <c r="E79" s="10">
        <f>IF(OR(B79="",C79=""),"",IFERROR(C79*INDEX(INSUMOS!$K$5:$K$67,MATCH(B79,INSUMOS!$B$5:$B$67,0)),""))</f>
        <v/>
      </c>
      <c r="F79" s="7" t="n"/>
    </row>
    <row r="80">
      <c r="A80" s="12" t="n"/>
      <c r="B80" s="7" t="n"/>
      <c r="C80" s="7" t="n"/>
      <c r="D80" s="7" t="n"/>
      <c r="E80" s="10">
        <f>IF(OR(B80="",C80=""),"",IFERROR(C80*INDEX(INSUMOS!$K$5:$K$67,MATCH(B80,INSUMOS!$B$5:$B$67,0)),""))</f>
        <v/>
      </c>
      <c r="F80" s="7" t="n"/>
    </row>
    <row r="81">
      <c r="A81" s="12" t="n"/>
      <c r="B81" s="7" t="n"/>
      <c r="C81" s="7" t="n"/>
      <c r="D81" s="7" t="n"/>
      <c r="E81" s="10">
        <f>IF(OR(B81="",C81=""),"",IFERROR(C81*INDEX(INSUMOS!$K$5:$K$67,MATCH(B81,INSUMOS!$B$5:$B$67,0)),""))</f>
        <v/>
      </c>
      <c r="F81" s="7" t="n"/>
    </row>
    <row r="82">
      <c r="A82" s="12" t="n"/>
      <c r="B82" s="7" t="n"/>
      <c r="C82" s="7" t="n"/>
      <c r="D82" s="7" t="n"/>
      <c r="E82" s="10">
        <f>IF(OR(B82="",C82=""),"",IFERROR(C82*INDEX(INSUMOS!$K$5:$K$67,MATCH(B82,INSUMOS!$B$5:$B$67,0)),""))</f>
        <v/>
      </c>
      <c r="F82" s="7" t="n"/>
    </row>
    <row r="83">
      <c r="A83" s="12" t="n"/>
      <c r="B83" s="7" t="n"/>
      <c r="C83" s="7" t="n"/>
      <c r="D83" s="7" t="n"/>
      <c r="E83" s="10">
        <f>IF(OR(B83="",C83=""),"",IFERROR(C83*INDEX(INSUMOS!$K$5:$K$67,MATCH(B83,INSUMOS!$B$5:$B$67,0)),""))</f>
        <v/>
      </c>
      <c r="F83" s="7" t="n"/>
    </row>
    <row r="84">
      <c r="A84" s="12" t="n"/>
      <c r="B84" s="7" t="n"/>
      <c r="C84" s="7" t="n"/>
      <c r="D84" s="7" t="n"/>
      <c r="E84" s="10">
        <f>IF(OR(B84="",C84=""),"",IFERROR(C84*INDEX(INSUMOS!$K$5:$K$67,MATCH(B84,INSUMOS!$B$5:$B$67,0)),""))</f>
        <v/>
      </c>
      <c r="F84" s="7" t="n"/>
    </row>
    <row r="85">
      <c r="A85" s="12" t="n"/>
      <c r="B85" s="7" t="n"/>
      <c r="C85" s="7" t="n"/>
      <c r="D85" s="7" t="n"/>
      <c r="E85" s="10">
        <f>IF(OR(B85="",C85=""),"",IFERROR(C85*INDEX(INSUMOS!$K$5:$K$67,MATCH(B85,INSUMOS!$B$5:$B$67,0)),""))</f>
        <v/>
      </c>
      <c r="F85" s="7" t="n"/>
    </row>
    <row r="86">
      <c r="A86" s="12" t="n"/>
      <c r="B86" s="7" t="n"/>
      <c r="C86" s="7" t="n"/>
      <c r="D86" s="7" t="n"/>
      <c r="E86" s="10">
        <f>IF(OR(B86="",C86=""),"",IFERROR(C86*INDEX(INSUMOS!$K$5:$K$67,MATCH(B86,INSUMOS!$B$5:$B$67,0)),""))</f>
        <v/>
      </c>
      <c r="F86" s="7" t="n"/>
    </row>
    <row r="87">
      <c r="A87" s="12" t="n"/>
      <c r="B87" s="7" t="n"/>
      <c r="C87" s="7" t="n"/>
      <c r="D87" s="7" t="n"/>
      <c r="E87" s="10">
        <f>IF(OR(B87="",C87=""),"",IFERROR(C87*INDEX(INSUMOS!$K$5:$K$67,MATCH(B87,INSUMOS!$B$5:$B$67,0)),""))</f>
        <v/>
      </c>
      <c r="F87" s="7" t="n"/>
    </row>
    <row r="88">
      <c r="A88" s="12" t="n"/>
      <c r="B88" s="7" t="n"/>
      <c r="C88" s="7" t="n"/>
      <c r="D88" s="7" t="n"/>
      <c r="E88" s="10">
        <f>IF(OR(B88="",C88=""),"",IFERROR(C88*INDEX(INSUMOS!$K$5:$K$67,MATCH(B88,INSUMOS!$B$5:$B$67,0)),""))</f>
        <v/>
      </c>
      <c r="F88" s="7" t="n"/>
    </row>
    <row r="89">
      <c r="A89" s="12" t="n"/>
      <c r="B89" s="7" t="n"/>
      <c r="C89" s="7" t="n"/>
      <c r="D89" s="7" t="n"/>
      <c r="E89" s="10">
        <f>IF(OR(B89="",C89=""),"",IFERROR(C89*INDEX(INSUMOS!$K$5:$K$67,MATCH(B89,INSUMOS!$B$5:$B$67,0)),""))</f>
        <v/>
      </c>
      <c r="F89" s="7" t="n"/>
    </row>
    <row r="90">
      <c r="A90" s="12" t="n"/>
      <c r="B90" s="7" t="n"/>
      <c r="C90" s="7" t="n"/>
      <c r="D90" s="7" t="n"/>
      <c r="E90" s="10">
        <f>IF(OR(B90="",C90=""),"",IFERROR(C90*INDEX(INSUMOS!$K$5:$K$67,MATCH(B90,INSUMOS!$B$5:$B$67,0)),""))</f>
        <v/>
      </c>
      <c r="F90" s="7" t="n"/>
    </row>
    <row r="91">
      <c r="A91" s="12" t="n"/>
      <c r="B91" s="7" t="n"/>
      <c r="C91" s="7" t="n"/>
      <c r="D91" s="7" t="n"/>
      <c r="E91" s="10">
        <f>IF(OR(B91="",C91=""),"",IFERROR(C91*INDEX(INSUMOS!$K$5:$K$67,MATCH(B91,INSUMOS!$B$5:$B$67,0)),""))</f>
        <v/>
      </c>
      <c r="F91" s="7" t="n"/>
    </row>
    <row r="92">
      <c r="A92" s="12" t="n"/>
      <c r="B92" s="7" t="n"/>
      <c r="C92" s="7" t="n"/>
      <c r="D92" s="7" t="n"/>
      <c r="E92" s="10">
        <f>IF(OR(B92="",C92=""),"",IFERROR(C92*INDEX(INSUMOS!$K$5:$K$67,MATCH(B92,INSUMOS!$B$5:$B$67,0)),""))</f>
        <v/>
      </c>
      <c r="F92" s="7" t="n"/>
    </row>
    <row r="93">
      <c r="A93" s="12" t="n"/>
      <c r="B93" s="7" t="n"/>
      <c r="C93" s="7" t="n"/>
      <c r="D93" s="7" t="n"/>
      <c r="E93" s="10">
        <f>IF(OR(B93="",C93=""),"",IFERROR(C93*INDEX(INSUMOS!$K$5:$K$67,MATCH(B93,INSUMOS!$B$5:$B$67,0)),""))</f>
        <v/>
      </c>
      <c r="F93" s="7" t="n"/>
    </row>
    <row r="94">
      <c r="A94" s="12" t="n"/>
      <c r="B94" s="7" t="n"/>
      <c r="C94" s="7" t="n"/>
      <c r="D94" s="7" t="n"/>
      <c r="E94" s="10">
        <f>IF(OR(B94="",C94=""),"",IFERROR(C94*INDEX(INSUMOS!$K$5:$K$67,MATCH(B94,INSUMOS!$B$5:$B$67,0)),""))</f>
        <v/>
      </c>
      <c r="F94" s="7" t="n"/>
    </row>
    <row r="95">
      <c r="A95" s="12" t="n"/>
      <c r="B95" s="7" t="n"/>
      <c r="C95" s="7" t="n"/>
      <c r="D95" s="7" t="n"/>
      <c r="E95" s="10">
        <f>IF(OR(B95="",C95=""),"",IFERROR(C95*INDEX(INSUMOS!$K$5:$K$67,MATCH(B95,INSUMOS!$B$5:$B$67,0)),""))</f>
        <v/>
      </c>
      <c r="F95" s="7" t="n"/>
    </row>
    <row r="96">
      <c r="A96" s="12" t="n"/>
      <c r="B96" s="7" t="n"/>
      <c r="C96" s="7" t="n"/>
      <c r="D96" s="7" t="n"/>
      <c r="E96" s="10">
        <f>IF(OR(B96="",C96=""),"",IFERROR(C96*INDEX(INSUMOS!$K$5:$K$67,MATCH(B96,INSUMOS!$B$5:$B$67,0)),""))</f>
        <v/>
      </c>
      <c r="F96" s="7" t="n"/>
    </row>
    <row r="97">
      <c r="A97" s="12" t="n"/>
      <c r="B97" s="7" t="n"/>
      <c r="C97" s="7" t="n"/>
      <c r="D97" s="7" t="n"/>
      <c r="E97" s="10">
        <f>IF(OR(B97="",C97=""),"",IFERROR(C97*INDEX(INSUMOS!$K$5:$K$67,MATCH(B97,INSUMOS!$B$5:$B$67,0)),""))</f>
        <v/>
      </c>
      <c r="F97" s="7" t="n"/>
    </row>
    <row r="98">
      <c r="A98" s="12" t="n"/>
      <c r="B98" s="7" t="n"/>
      <c r="C98" s="7" t="n"/>
      <c r="D98" s="7" t="n"/>
      <c r="E98" s="10">
        <f>IF(OR(B98="",C98=""),"",IFERROR(C98*INDEX(INSUMOS!$K$5:$K$67,MATCH(B98,INSUMOS!$B$5:$B$67,0)),""))</f>
        <v/>
      </c>
      <c r="F98" s="7" t="n"/>
    </row>
    <row r="99">
      <c r="A99" s="12" t="n"/>
      <c r="B99" s="7" t="n"/>
      <c r="C99" s="7" t="n"/>
      <c r="D99" s="7" t="n"/>
      <c r="E99" s="10">
        <f>IF(OR(B99="",C99=""),"",IFERROR(C99*INDEX(INSUMOS!$K$5:$K$67,MATCH(B99,INSUMOS!$B$5:$B$67,0)),""))</f>
        <v/>
      </c>
      <c r="F99" s="7" t="n"/>
    </row>
    <row r="100">
      <c r="A100" s="12" t="n"/>
      <c r="B100" s="7" t="n"/>
      <c r="C100" s="7" t="n"/>
      <c r="D100" s="7" t="n"/>
      <c r="E100" s="10">
        <f>IF(OR(B100="",C100=""),"",IFERROR(C100*INDEX(INSUMOS!$K$5:$K$67,MATCH(B100,INSUMOS!$B$5:$B$67,0)),""))</f>
        <v/>
      </c>
      <c r="F100" s="7" t="n"/>
    </row>
    <row r="101">
      <c r="A101" s="12" t="n"/>
      <c r="B101" s="7" t="n"/>
      <c r="C101" s="7" t="n"/>
      <c r="D101" s="7" t="n"/>
      <c r="E101" s="10">
        <f>IF(OR(B101="",C101=""),"",IFERROR(C101*INDEX(INSUMOS!$K$5:$K$67,MATCH(B101,INSUMOS!$B$5:$B$67,0)),""))</f>
        <v/>
      </c>
      <c r="F101" s="7" t="n"/>
    </row>
    <row r="102">
      <c r="A102" s="12" t="n"/>
      <c r="B102" s="7" t="n"/>
      <c r="C102" s="7" t="n"/>
      <c r="D102" s="7" t="n"/>
      <c r="E102" s="10">
        <f>IF(OR(B102="",C102=""),"",IFERROR(C102*INDEX(INSUMOS!$K$5:$K$67,MATCH(B102,INSUMOS!$B$5:$B$67,0)),""))</f>
        <v/>
      </c>
      <c r="F102" s="7" t="n"/>
    </row>
    <row r="103">
      <c r="A103" s="12" t="n"/>
      <c r="B103" s="7" t="n"/>
      <c r="C103" s="7" t="n"/>
      <c r="D103" s="7" t="n"/>
      <c r="E103" s="10">
        <f>IF(OR(B103="",C103=""),"",IFERROR(C103*INDEX(INSUMOS!$K$5:$K$67,MATCH(B103,INSUMOS!$B$5:$B$67,0)),""))</f>
        <v/>
      </c>
      <c r="F103" s="7" t="n"/>
    </row>
    <row r="104">
      <c r="A104" s="12" t="n"/>
      <c r="B104" s="7" t="n"/>
      <c r="C104" s="7" t="n"/>
      <c r="D104" s="7" t="n"/>
      <c r="E104" s="10">
        <f>IF(OR(B104="",C104=""),"",IFERROR(C104*INDEX(INSUMOS!$K$5:$K$67,MATCH(B104,INSUMOS!$B$5:$B$67,0)),""))</f>
        <v/>
      </c>
      <c r="F104" s="7" t="n"/>
    </row>
    <row r="105">
      <c r="A105" s="12" t="n"/>
      <c r="B105" s="7" t="n"/>
      <c r="C105" s="7" t="n"/>
      <c r="D105" s="7" t="n"/>
      <c r="E105" s="10">
        <f>IF(OR(B105="",C105=""),"",IFERROR(C105*INDEX(INSUMOS!$K$5:$K$67,MATCH(B105,INSUMOS!$B$5:$B$67,0)),""))</f>
        <v/>
      </c>
      <c r="F105" s="7" t="n"/>
    </row>
    <row r="106">
      <c r="A106" s="12" t="n"/>
      <c r="B106" s="7" t="n"/>
      <c r="C106" s="7" t="n"/>
      <c r="D106" s="7" t="n"/>
      <c r="E106" s="10">
        <f>IF(OR(B106="",C106=""),"",IFERROR(C106*INDEX(INSUMOS!$K$5:$K$67,MATCH(B106,INSUMOS!$B$5:$B$67,0)),""))</f>
        <v/>
      </c>
      <c r="F106" s="7" t="n"/>
    </row>
    <row r="107">
      <c r="A107" s="12" t="n"/>
      <c r="B107" s="7" t="n"/>
      <c r="C107" s="7" t="n"/>
      <c r="D107" s="7" t="n"/>
      <c r="E107" s="10">
        <f>IF(OR(B107="",C107=""),"",IFERROR(C107*INDEX(INSUMOS!$K$5:$K$67,MATCH(B107,INSUMOS!$B$5:$B$67,0)),""))</f>
        <v/>
      </c>
      <c r="F107" s="7" t="n"/>
    </row>
    <row r="108">
      <c r="A108" s="12" t="n"/>
      <c r="B108" s="7" t="n"/>
      <c r="C108" s="7" t="n"/>
      <c r="D108" s="7" t="n"/>
      <c r="E108" s="10">
        <f>IF(OR(B108="",C108=""),"",IFERROR(C108*INDEX(INSUMOS!$K$5:$K$67,MATCH(B108,INSUMOS!$B$5:$B$67,0)),""))</f>
        <v/>
      </c>
      <c r="F108" s="7" t="n"/>
    </row>
    <row r="109">
      <c r="A109" s="12" t="n"/>
      <c r="B109" s="7" t="n"/>
      <c r="C109" s="7" t="n"/>
      <c r="D109" s="7" t="n"/>
      <c r="E109" s="10">
        <f>IF(OR(B109="",C109=""),"",IFERROR(C109*INDEX(INSUMOS!$K$5:$K$67,MATCH(B109,INSUMOS!$B$5:$B$67,0)),""))</f>
        <v/>
      </c>
      <c r="F109" s="7" t="n"/>
    </row>
    <row r="110">
      <c r="A110" s="12" t="n"/>
      <c r="B110" s="7" t="n"/>
      <c r="C110" s="7" t="n"/>
      <c r="D110" s="7" t="n"/>
      <c r="E110" s="10">
        <f>IF(OR(B110="",C110=""),"",IFERROR(C110*INDEX(INSUMOS!$K$5:$K$67,MATCH(B110,INSUMOS!$B$5:$B$67,0)),""))</f>
        <v/>
      </c>
      <c r="F110" s="7" t="n"/>
    </row>
    <row r="111">
      <c r="A111" s="12" t="n"/>
      <c r="B111" s="7" t="n"/>
      <c r="C111" s="7" t="n"/>
      <c r="D111" s="7" t="n"/>
      <c r="E111" s="10">
        <f>IF(OR(B111="",C111=""),"",IFERROR(C111*INDEX(INSUMOS!$K$5:$K$67,MATCH(B111,INSUMOS!$B$5:$B$67,0)),""))</f>
        <v/>
      </c>
      <c r="F111" s="7" t="n"/>
    </row>
    <row r="112">
      <c r="A112" s="12" t="n"/>
      <c r="B112" s="7" t="n"/>
      <c r="C112" s="7" t="n"/>
      <c r="D112" s="7" t="n"/>
      <c r="E112" s="10">
        <f>IF(OR(B112="",C112=""),"",IFERROR(C112*INDEX(INSUMOS!$K$5:$K$67,MATCH(B112,INSUMOS!$B$5:$B$67,0)),""))</f>
        <v/>
      </c>
      <c r="F112" s="7" t="n"/>
    </row>
    <row r="113">
      <c r="A113" s="12" t="n"/>
      <c r="B113" s="7" t="n"/>
      <c r="C113" s="7" t="n"/>
      <c r="D113" s="7" t="n"/>
      <c r="E113" s="10">
        <f>IF(OR(B113="",C113=""),"",IFERROR(C113*INDEX(INSUMOS!$K$5:$K$67,MATCH(B113,INSUMOS!$B$5:$B$67,0)),""))</f>
        <v/>
      </c>
      <c r="F113" s="7" t="n"/>
    </row>
    <row r="114">
      <c r="A114" s="12" t="n"/>
      <c r="B114" s="7" t="n"/>
      <c r="C114" s="7" t="n"/>
      <c r="D114" s="7" t="n"/>
      <c r="E114" s="10">
        <f>IF(OR(B114="",C114=""),"",IFERROR(C114*INDEX(INSUMOS!$K$5:$K$67,MATCH(B114,INSUMOS!$B$5:$B$67,0)),""))</f>
        <v/>
      </c>
      <c r="F114" s="7" t="n"/>
    </row>
    <row r="115">
      <c r="A115" s="12" t="n"/>
      <c r="B115" s="7" t="n"/>
      <c r="C115" s="7" t="n"/>
      <c r="D115" s="7" t="n"/>
      <c r="E115" s="10">
        <f>IF(OR(B115="",C115=""),"",IFERROR(C115*INDEX(INSUMOS!$K$5:$K$67,MATCH(B115,INSUMOS!$B$5:$B$67,0)),""))</f>
        <v/>
      </c>
      <c r="F115" s="7" t="n"/>
    </row>
    <row r="116">
      <c r="A116" s="12" t="n"/>
      <c r="B116" s="7" t="n"/>
      <c r="C116" s="7" t="n"/>
      <c r="D116" s="7" t="n"/>
      <c r="E116" s="10">
        <f>IF(OR(B116="",C116=""),"",IFERROR(C116*INDEX(INSUMOS!$K$5:$K$67,MATCH(B116,INSUMOS!$B$5:$B$67,0)),""))</f>
        <v/>
      </c>
      <c r="F116" s="7" t="n"/>
    </row>
    <row r="117">
      <c r="A117" s="12" t="n"/>
      <c r="B117" s="7" t="n"/>
      <c r="C117" s="7" t="n"/>
      <c r="D117" s="7" t="n"/>
      <c r="E117" s="10">
        <f>IF(OR(B117="",C117=""),"",IFERROR(C117*INDEX(INSUMOS!$K$5:$K$67,MATCH(B117,INSUMOS!$B$5:$B$67,0)),""))</f>
        <v/>
      </c>
      <c r="F117" s="7" t="n"/>
    </row>
    <row r="118">
      <c r="A118" s="12" t="n"/>
      <c r="B118" s="7" t="n"/>
      <c r="C118" s="7" t="n"/>
      <c r="D118" s="7" t="n"/>
      <c r="E118" s="10">
        <f>IF(OR(B118="",C118=""),"",IFERROR(C118*INDEX(INSUMOS!$K$5:$K$67,MATCH(B118,INSUMOS!$B$5:$B$67,0)),""))</f>
        <v/>
      </c>
      <c r="F118" s="7" t="n"/>
    </row>
    <row r="119">
      <c r="A119" s="12" t="n"/>
      <c r="B119" s="7" t="n"/>
      <c r="C119" s="7" t="n"/>
      <c r="D119" s="7" t="n"/>
      <c r="E119" s="10">
        <f>IF(OR(B119="",C119=""),"",IFERROR(C119*INDEX(INSUMOS!$K$5:$K$67,MATCH(B119,INSUMOS!$B$5:$B$67,0)),""))</f>
        <v/>
      </c>
      <c r="F119" s="7" t="n"/>
    </row>
    <row r="120">
      <c r="A120" s="12" t="n"/>
      <c r="B120" s="7" t="n"/>
      <c r="C120" s="7" t="n"/>
      <c r="D120" s="7" t="n"/>
      <c r="E120" s="10">
        <f>IF(OR(B120="",C120=""),"",IFERROR(C120*INDEX(INSUMOS!$K$5:$K$67,MATCH(B120,INSUMOS!$B$5:$B$67,0)),""))</f>
        <v/>
      </c>
      <c r="F120" s="7" t="n"/>
    </row>
    <row r="121">
      <c r="A121" s="12" t="n"/>
      <c r="B121" s="7" t="n"/>
      <c r="C121" s="7" t="n"/>
      <c r="D121" s="7" t="n"/>
      <c r="E121" s="10">
        <f>IF(OR(B121="",C121=""),"",IFERROR(C121*INDEX(INSUMOS!$K$5:$K$67,MATCH(B121,INSUMOS!$B$5:$B$67,0)),""))</f>
        <v/>
      </c>
      <c r="F121" s="7" t="n"/>
    </row>
    <row r="122">
      <c r="A122" s="12" t="n"/>
      <c r="B122" s="7" t="n"/>
      <c r="C122" s="7" t="n"/>
      <c r="D122" s="7" t="n"/>
      <c r="E122" s="10">
        <f>IF(OR(B122="",C122=""),"",IFERROR(C122*INDEX(INSUMOS!$K$5:$K$67,MATCH(B122,INSUMOS!$B$5:$B$67,0)),""))</f>
        <v/>
      </c>
      <c r="F122" s="7" t="n"/>
    </row>
    <row r="123">
      <c r="A123" s="12" t="n"/>
      <c r="B123" s="7" t="n"/>
      <c r="C123" s="7" t="n"/>
      <c r="D123" s="7" t="n"/>
      <c r="E123" s="10">
        <f>IF(OR(B123="",C123=""),"",IFERROR(C123*INDEX(INSUMOS!$K$5:$K$67,MATCH(B123,INSUMOS!$B$5:$B$67,0)),""))</f>
        <v/>
      </c>
      <c r="F123" s="7" t="n"/>
    </row>
    <row r="124">
      <c r="A124" s="12" t="n"/>
      <c r="B124" s="7" t="n"/>
      <c r="C124" s="7" t="n"/>
      <c r="D124" s="7" t="n"/>
      <c r="E124" s="10">
        <f>IF(OR(B124="",C124=""),"",IFERROR(C124*INDEX(INSUMOS!$K$5:$K$67,MATCH(B124,INSUMOS!$B$5:$B$67,0)),""))</f>
        <v/>
      </c>
      <c r="F124" s="7" t="n"/>
    </row>
    <row r="125">
      <c r="A125" s="12" t="n"/>
      <c r="B125" s="7" t="n"/>
      <c r="C125" s="7" t="n"/>
      <c r="D125" s="7" t="n"/>
      <c r="E125" s="10">
        <f>IF(OR(B125="",C125=""),"",IFERROR(C125*INDEX(INSUMOS!$K$5:$K$67,MATCH(B125,INSUMOS!$B$5:$B$67,0)),""))</f>
        <v/>
      </c>
      <c r="F125" s="7" t="n"/>
    </row>
    <row r="126">
      <c r="A126" s="12" t="n"/>
      <c r="B126" s="7" t="n"/>
      <c r="C126" s="7" t="n"/>
      <c r="D126" s="7" t="n"/>
      <c r="E126" s="10">
        <f>IF(OR(B126="",C126=""),"",IFERROR(C126*INDEX(INSUMOS!$K$5:$K$67,MATCH(B126,INSUMOS!$B$5:$B$67,0)),""))</f>
        <v/>
      </c>
      <c r="F126" s="7" t="n"/>
    </row>
    <row r="127">
      <c r="A127" s="12" t="n"/>
      <c r="B127" s="7" t="n"/>
      <c r="C127" s="7" t="n"/>
      <c r="D127" s="7" t="n"/>
      <c r="E127" s="10">
        <f>IF(OR(B127="",C127=""),"",IFERROR(C127*INDEX(INSUMOS!$K$5:$K$67,MATCH(B127,INSUMOS!$B$5:$B$67,0)),""))</f>
        <v/>
      </c>
      <c r="F127" s="7" t="n"/>
    </row>
    <row r="128">
      <c r="A128" s="12" t="n"/>
      <c r="B128" s="7" t="n"/>
      <c r="C128" s="7" t="n"/>
      <c r="D128" s="7" t="n"/>
      <c r="E128" s="10">
        <f>IF(OR(B128="",C128=""),"",IFERROR(C128*INDEX(INSUMOS!$K$5:$K$67,MATCH(B128,INSUMOS!$B$5:$B$67,0)),""))</f>
        <v/>
      </c>
      <c r="F128" s="7" t="n"/>
    </row>
    <row r="129">
      <c r="A129" s="12" t="n"/>
      <c r="B129" s="7" t="n"/>
      <c r="C129" s="7" t="n"/>
      <c r="D129" s="7" t="n"/>
      <c r="E129" s="10">
        <f>IF(OR(B129="",C129=""),"",IFERROR(C129*INDEX(INSUMOS!$K$5:$K$67,MATCH(B129,INSUMOS!$B$5:$B$67,0)),""))</f>
        <v/>
      </c>
      <c r="F129" s="7" t="n"/>
    </row>
    <row r="130">
      <c r="A130" s="12" t="n"/>
      <c r="B130" s="7" t="n"/>
      <c r="C130" s="7" t="n"/>
      <c r="D130" s="7" t="n"/>
      <c r="E130" s="10">
        <f>IF(OR(B130="",C130=""),"",IFERROR(C130*INDEX(INSUMOS!$K$5:$K$67,MATCH(B130,INSUMOS!$B$5:$B$67,0)),""))</f>
        <v/>
      </c>
      <c r="F130" s="7" t="n"/>
    </row>
    <row r="131">
      <c r="A131" s="12" t="n"/>
      <c r="B131" s="7" t="n"/>
      <c r="C131" s="7" t="n"/>
      <c r="D131" s="7" t="n"/>
      <c r="E131" s="10">
        <f>IF(OR(B131="",C131=""),"",IFERROR(C131*INDEX(INSUMOS!$K$5:$K$67,MATCH(B131,INSUMOS!$B$5:$B$67,0)),""))</f>
        <v/>
      </c>
      <c r="F131" s="7" t="n"/>
    </row>
    <row r="132">
      <c r="A132" s="12" t="n"/>
      <c r="B132" s="7" t="n"/>
      <c r="C132" s="7" t="n"/>
      <c r="D132" s="7" t="n"/>
      <c r="E132" s="10">
        <f>IF(OR(B132="",C132=""),"",IFERROR(C132*INDEX(INSUMOS!$K$5:$K$67,MATCH(B132,INSUMOS!$B$5:$B$67,0)),""))</f>
        <v/>
      </c>
      <c r="F132" s="7" t="n"/>
    </row>
    <row r="133">
      <c r="A133" s="12" t="n"/>
      <c r="B133" s="7" t="n"/>
      <c r="C133" s="7" t="n"/>
      <c r="D133" s="7" t="n"/>
      <c r="E133" s="10">
        <f>IF(OR(B133="",C133=""),"",IFERROR(C133*INDEX(INSUMOS!$K$5:$K$67,MATCH(B133,INSUMOS!$B$5:$B$67,0)),""))</f>
        <v/>
      </c>
      <c r="F133" s="7" t="n"/>
    </row>
    <row r="134">
      <c r="A134" s="12" t="n"/>
      <c r="B134" s="7" t="n"/>
      <c r="C134" s="7" t="n"/>
      <c r="D134" s="7" t="n"/>
      <c r="E134" s="10">
        <f>IF(OR(B134="",C134=""),"",IFERROR(C134*INDEX(INSUMOS!$K$5:$K$67,MATCH(B134,INSUMOS!$B$5:$B$67,0)),""))</f>
        <v/>
      </c>
      <c r="F134" s="7" t="n"/>
    </row>
    <row r="135">
      <c r="A135" s="12" t="n"/>
      <c r="B135" s="7" t="n"/>
      <c r="C135" s="7" t="n"/>
      <c r="D135" s="7" t="n"/>
      <c r="E135" s="10">
        <f>IF(OR(B135="",C135=""),"",IFERROR(C135*INDEX(INSUMOS!$K$5:$K$67,MATCH(B135,INSUMOS!$B$5:$B$67,0)),""))</f>
        <v/>
      </c>
      <c r="F135" s="7" t="n"/>
    </row>
    <row r="136">
      <c r="A136" s="12" t="n"/>
      <c r="B136" s="7" t="n"/>
      <c r="C136" s="7" t="n"/>
      <c r="D136" s="7" t="n"/>
      <c r="E136" s="10">
        <f>IF(OR(B136="",C136=""),"",IFERROR(C136*INDEX(INSUMOS!$K$5:$K$67,MATCH(B136,INSUMOS!$B$5:$B$67,0)),""))</f>
        <v/>
      </c>
      <c r="F136" s="7" t="n"/>
    </row>
    <row r="137">
      <c r="A137" s="12" t="n"/>
      <c r="B137" s="7" t="n"/>
      <c r="C137" s="7" t="n"/>
      <c r="D137" s="7" t="n"/>
      <c r="E137" s="10">
        <f>IF(OR(B137="",C137=""),"",IFERROR(C137*INDEX(INSUMOS!$K$5:$K$67,MATCH(B137,INSUMOS!$B$5:$B$67,0)),""))</f>
        <v/>
      </c>
      <c r="F137" s="7" t="n"/>
    </row>
    <row r="138">
      <c r="A138" s="12" t="n"/>
      <c r="B138" s="7" t="n"/>
      <c r="C138" s="7" t="n"/>
      <c r="D138" s="7" t="n"/>
      <c r="E138" s="10">
        <f>IF(OR(B138="",C138=""),"",IFERROR(C138*INDEX(INSUMOS!$K$5:$K$67,MATCH(B138,INSUMOS!$B$5:$B$67,0)),""))</f>
        <v/>
      </c>
      <c r="F138" s="7" t="n"/>
    </row>
    <row r="139">
      <c r="A139" s="12" t="n"/>
      <c r="B139" s="7" t="n"/>
      <c r="C139" s="7" t="n"/>
      <c r="D139" s="7" t="n"/>
      <c r="E139" s="10">
        <f>IF(OR(B139="",C139=""),"",IFERROR(C139*INDEX(INSUMOS!$K$5:$K$67,MATCH(B139,INSUMOS!$B$5:$B$67,0)),""))</f>
        <v/>
      </c>
      <c r="F139" s="7" t="n"/>
    </row>
    <row r="140">
      <c r="A140" s="12" t="n"/>
      <c r="B140" s="7" t="n"/>
      <c r="C140" s="7" t="n"/>
      <c r="D140" s="7" t="n"/>
      <c r="E140" s="10">
        <f>IF(OR(B140="",C140=""),"",IFERROR(C140*INDEX(INSUMOS!$K$5:$K$67,MATCH(B140,INSUMOS!$B$5:$B$67,0)),""))</f>
        <v/>
      </c>
      <c r="F140" s="7" t="n"/>
    </row>
    <row r="141">
      <c r="A141" s="12" t="n"/>
      <c r="B141" s="7" t="n"/>
      <c r="C141" s="7" t="n"/>
      <c r="D141" s="7" t="n"/>
      <c r="E141" s="10">
        <f>IF(OR(B141="",C141=""),"",IFERROR(C141*INDEX(INSUMOS!$K$5:$K$67,MATCH(B141,INSUMOS!$B$5:$B$67,0)),""))</f>
        <v/>
      </c>
      <c r="F141" s="7" t="n"/>
    </row>
    <row r="142">
      <c r="A142" s="12" t="n"/>
      <c r="B142" s="7" t="n"/>
      <c r="C142" s="7" t="n"/>
      <c r="D142" s="7" t="n"/>
      <c r="E142" s="10">
        <f>IF(OR(B142="",C142=""),"",IFERROR(C142*INDEX(INSUMOS!$K$5:$K$67,MATCH(B142,INSUMOS!$B$5:$B$67,0)),""))</f>
        <v/>
      </c>
      <c r="F142" s="7" t="n"/>
    </row>
    <row r="143">
      <c r="A143" s="12" t="n"/>
      <c r="B143" s="7" t="n"/>
      <c r="C143" s="7" t="n"/>
      <c r="D143" s="7" t="n"/>
      <c r="E143" s="10">
        <f>IF(OR(B143="",C143=""),"",IFERROR(C143*INDEX(INSUMOS!$K$5:$K$67,MATCH(B143,INSUMOS!$B$5:$B$67,0)),""))</f>
        <v/>
      </c>
      <c r="F143" s="7" t="n"/>
    </row>
    <row r="144">
      <c r="A144" s="12" t="n"/>
      <c r="B144" s="7" t="n"/>
      <c r="C144" s="7" t="n"/>
      <c r="D144" s="7" t="n"/>
      <c r="E144" s="10">
        <f>IF(OR(B144="",C144=""),"",IFERROR(C144*INDEX(INSUMOS!$K$5:$K$67,MATCH(B144,INSUMOS!$B$5:$B$67,0)),""))</f>
        <v/>
      </c>
      <c r="F144" s="7" t="n"/>
    </row>
    <row r="145">
      <c r="A145" s="12" t="n"/>
      <c r="B145" s="7" t="n"/>
      <c r="C145" s="7" t="n"/>
      <c r="D145" s="7" t="n"/>
      <c r="E145" s="10">
        <f>IF(OR(B145="",C145=""),"",IFERROR(C145*INDEX(INSUMOS!$K$5:$K$67,MATCH(B145,INSUMOS!$B$5:$B$67,0)),""))</f>
        <v/>
      </c>
      <c r="F145" s="7" t="n"/>
    </row>
    <row r="146">
      <c r="A146" s="12" t="n"/>
      <c r="B146" s="7" t="n"/>
      <c r="C146" s="7" t="n"/>
      <c r="D146" s="7" t="n"/>
      <c r="E146" s="10">
        <f>IF(OR(B146="",C146=""),"",IFERROR(C146*INDEX(INSUMOS!$K$5:$K$67,MATCH(B146,INSUMOS!$B$5:$B$67,0)),""))</f>
        <v/>
      </c>
      <c r="F146" s="7" t="n"/>
    </row>
    <row r="147">
      <c r="A147" s="12" t="n"/>
      <c r="B147" s="7" t="n"/>
      <c r="C147" s="7" t="n"/>
      <c r="D147" s="7" t="n"/>
      <c r="E147" s="10">
        <f>IF(OR(B147="",C147=""),"",IFERROR(C147*INDEX(INSUMOS!$K$5:$K$67,MATCH(B147,INSUMOS!$B$5:$B$67,0)),""))</f>
        <v/>
      </c>
      <c r="F147" s="7" t="n"/>
    </row>
    <row r="148">
      <c r="A148" s="12" t="n"/>
      <c r="B148" s="7" t="n"/>
      <c r="C148" s="7" t="n"/>
      <c r="D148" s="7" t="n"/>
      <c r="E148" s="10">
        <f>IF(OR(B148="",C148=""),"",IFERROR(C148*INDEX(INSUMOS!$K$5:$K$67,MATCH(B148,INSUMOS!$B$5:$B$67,0)),""))</f>
        <v/>
      </c>
      <c r="F148" s="7" t="n"/>
    </row>
    <row r="149">
      <c r="A149" s="12" t="n"/>
      <c r="B149" s="7" t="n"/>
      <c r="C149" s="7" t="n"/>
      <c r="D149" s="7" t="n"/>
      <c r="E149" s="10">
        <f>IF(OR(B149="",C149=""),"",IFERROR(C149*INDEX(INSUMOS!$K$5:$K$67,MATCH(B149,INSUMOS!$B$5:$B$67,0)),""))</f>
        <v/>
      </c>
      <c r="F149" s="7" t="n"/>
    </row>
    <row r="150">
      <c r="A150" s="12" t="n"/>
      <c r="B150" s="7" t="n"/>
      <c r="C150" s="7" t="n"/>
      <c r="D150" s="7" t="n"/>
      <c r="E150" s="10">
        <f>IF(OR(B150="",C150=""),"",IFERROR(C150*INDEX(INSUMOS!$K$5:$K$67,MATCH(B150,INSUMOS!$B$5:$B$67,0)),""))</f>
        <v/>
      </c>
      <c r="F150" s="7" t="n"/>
    </row>
    <row r="151">
      <c r="A151" s="12" t="n"/>
      <c r="B151" s="7" t="n"/>
      <c r="C151" s="7" t="n"/>
      <c r="D151" s="7" t="n"/>
      <c r="E151" s="10">
        <f>IF(OR(B151="",C151=""),"",IFERROR(C151*INDEX(INSUMOS!$K$5:$K$67,MATCH(B151,INSUMOS!$B$5:$B$67,0)),""))</f>
        <v/>
      </c>
      <c r="F151" s="7" t="n"/>
    </row>
    <row r="152">
      <c r="A152" s="12" t="n"/>
      <c r="B152" s="7" t="n"/>
      <c r="C152" s="7" t="n"/>
      <c r="D152" s="7" t="n"/>
      <c r="E152" s="10">
        <f>IF(OR(B152="",C152=""),"",IFERROR(C152*INDEX(INSUMOS!$K$5:$K$67,MATCH(B152,INSUMOS!$B$5:$B$67,0)),""))</f>
        <v/>
      </c>
      <c r="F152" s="7" t="n"/>
    </row>
    <row r="153">
      <c r="A153" s="12" t="n"/>
      <c r="B153" s="7" t="n"/>
      <c r="C153" s="7" t="n"/>
      <c r="D153" s="7" t="n"/>
      <c r="E153" s="10">
        <f>IF(OR(B153="",C153=""),"",IFERROR(C153*INDEX(INSUMOS!$K$5:$K$67,MATCH(B153,INSUMOS!$B$5:$B$67,0)),""))</f>
        <v/>
      </c>
      <c r="F153" s="7" t="n"/>
    </row>
    <row r="154">
      <c r="A154" s="12" t="n"/>
      <c r="B154" s="7" t="n"/>
      <c r="C154" s="7" t="n"/>
      <c r="D154" s="7" t="n"/>
      <c r="E154" s="10">
        <f>IF(OR(B154="",C154=""),"",IFERROR(C154*INDEX(INSUMOS!$K$5:$K$67,MATCH(B154,INSUMOS!$B$5:$B$67,0)),""))</f>
        <v/>
      </c>
      <c r="F154" s="7" t="n"/>
    </row>
    <row r="155">
      <c r="A155" s="12" t="n"/>
      <c r="B155" s="7" t="n"/>
      <c r="C155" s="7" t="n"/>
      <c r="D155" s="7" t="n"/>
      <c r="E155" s="10">
        <f>IF(OR(B155="",C155=""),"",IFERROR(C155*INDEX(INSUMOS!$K$5:$K$67,MATCH(B155,INSUMOS!$B$5:$B$67,0)),""))</f>
        <v/>
      </c>
      <c r="F155" s="7" t="n"/>
    </row>
    <row r="156">
      <c r="A156" s="12" t="n"/>
      <c r="B156" s="7" t="n"/>
      <c r="C156" s="7" t="n"/>
      <c r="D156" s="7" t="n"/>
      <c r="E156" s="10">
        <f>IF(OR(B156="",C156=""),"",IFERROR(C156*INDEX(INSUMOS!$K$5:$K$67,MATCH(B156,INSUMOS!$B$5:$B$67,0)),""))</f>
        <v/>
      </c>
      <c r="F156" s="7" t="n"/>
    </row>
    <row r="157">
      <c r="A157" s="12" t="n"/>
      <c r="B157" s="7" t="n"/>
      <c r="C157" s="7" t="n"/>
      <c r="D157" s="7" t="n"/>
      <c r="E157" s="10">
        <f>IF(OR(B157="",C157=""),"",IFERROR(C157*INDEX(INSUMOS!$K$5:$K$67,MATCH(B157,INSUMOS!$B$5:$B$67,0)),""))</f>
        <v/>
      </c>
      <c r="F157" s="7" t="n"/>
    </row>
    <row r="158">
      <c r="A158" s="12" t="n"/>
      <c r="B158" s="7" t="n"/>
      <c r="C158" s="7" t="n"/>
      <c r="D158" s="7" t="n"/>
      <c r="E158" s="10">
        <f>IF(OR(B158="",C158=""),"",IFERROR(C158*INDEX(INSUMOS!$K$5:$K$67,MATCH(B158,INSUMOS!$B$5:$B$67,0)),""))</f>
        <v/>
      </c>
      <c r="F158" s="7" t="n"/>
    </row>
    <row r="159">
      <c r="A159" s="12" t="n"/>
      <c r="B159" s="7" t="n"/>
      <c r="C159" s="7" t="n"/>
      <c r="D159" s="7" t="n"/>
      <c r="E159" s="10">
        <f>IF(OR(B159="",C159=""),"",IFERROR(C159*INDEX(INSUMOS!$K$5:$K$67,MATCH(B159,INSUMOS!$B$5:$B$67,0)),""))</f>
        <v/>
      </c>
      <c r="F159" s="7" t="n"/>
    </row>
    <row r="160">
      <c r="A160" s="12" t="n"/>
      <c r="B160" s="7" t="n"/>
      <c r="C160" s="7" t="n"/>
      <c r="D160" s="7" t="n"/>
      <c r="E160" s="10">
        <f>IF(OR(B160="",C160=""),"",IFERROR(C160*INDEX(INSUMOS!$K$5:$K$67,MATCH(B160,INSUMOS!$B$5:$B$67,0)),""))</f>
        <v/>
      </c>
      <c r="F160" s="7" t="n"/>
    </row>
    <row r="161">
      <c r="A161" s="12" t="n"/>
      <c r="B161" s="7" t="n"/>
      <c r="C161" s="7" t="n"/>
      <c r="D161" s="7" t="n"/>
      <c r="E161" s="10">
        <f>IF(OR(B161="",C161=""),"",IFERROR(C161*INDEX(INSUMOS!$K$5:$K$67,MATCH(B161,INSUMOS!$B$5:$B$67,0)),""))</f>
        <v/>
      </c>
      <c r="F161" s="7" t="n"/>
    </row>
    <row r="162">
      <c r="A162" s="12" t="n"/>
      <c r="B162" s="7" t="n"/>
      <c r="C162" s="7" t="n"/>
      <c r="D162" s="7" t="n"/>
      <c r="E162" s="10">
        <f>IF(OR(B162="",C162=""),"",IFERROR(C162*INDEX(INSUMOS!$K$5:$K$67,MATCH(B162,INSUMOS!$B$5:$B$67,0)),""))</f>
        <v/>
      </c>
      <c r="F162" s="7" t="n"/>
    </row>
    <row r="163">
      <c r="A163" s="12" t="n"/>
      <c r="B163" s="7" t="n"/>
      <c r="C163" s="7" t="n"/>
      <c r="D163" s="7" t="n"/>
      <c r="E163" s="10">
        <f>IF(OR(B163="",C163=""),"",IFERROR(C163*INDEX(INSUMOS!$K$5:$K$67,MATCH(B163,INSUMOS!$B$5:$B$67,0)),""))</f>
        <v/>
      </c>
      <c r="F163" s="7" t="n"/>
    </row>
    <row r="164">
      <c r="A164" s="12" t="n"/>
      <c r="B164" s="7" t="n"/>
      <c r="C164" s="7" t="n"/>
      <c r="D164" s="7" t="n"/>
      <c r="E164" s="10">
        <f>IF(OR(B164="",C164=""),"",IFERROR(C164*INDEX(INSUMOS!$K$5:$K$67,MATCH(B164,INSUMOS!$B$5:$B$67,0)),""))</f>
        <v/>
      </c>
      <c r="F164" s="7" t="n"/>
    </row>
    <row r="165">
      <c r="A165" s="12" t="n"/>
      <c r="B165" s="7" t="n"/>
      <c r="C165" s="7" t="n"/>
      <c r="D165" s="7" t="n"/>
      <c r="E165" s="10">
        <f>IF(OR(B165="",C165=""),"",IFERROR(C165*INDEX(INSUMOS!$K$5:$K$67,MATCH(B165,INSUMOS!$B$5:$B$67,0)),""))</f>
        <v/>
      </c>
      <c r="F165" s="7" t="n"/>
    </row>
    <row r="166">
      <c r="A166" s="12" t="n"/>
      <c r="B166" s="7" t="n"/>
      <c r="C166" s="7" t="n"/>
      <c r="D166" s="7" t="n"/>
      <c r="E166" s="10">
        <f>IF(OR(B166="",C166=""),"",IFERROR(C166*INDEX(INSUMOS!$K$5:$K$67,MATCH(B166,INSUMOS!$B$5:$B$67,0)),""))</f>
        <v/>
      </c>
      <c r="F166" s="7" t="n"/>
    </row>
    <row r="167">
      <c r="A167" s="12" t="n"/>
      <c r="B167" s="7" t="n"/>
      <c r="C167" s="7" t="n"/>
      <c r="D167" s="7" t="n"/>
      <c r="E167" s="10">
        <f>IF(OR(B167="",C167=""),"",IFERROR(C167*INDEX(INSUMOS!$K$5:$K$67,MATCH(B167,INSUMOS!$B$5:$B$67,0)),""))</f>
        <v/>
      </c>
      <c r="F167" s="7" t="n"/>
    </row>
    <row r="168">
      <c r="A168" s="12" t="n"/>
      <c r="B168" s="7" t="n"/>
      <c r="C168" s="7" t="n"/>
      <c r="D168" s="7" t="n"/>
      <c r="E168" s="10">
        <f>IF(OR(B168="",C168=""),"",IFERROR(C168*INDEX(INSUMOS!$K$5:$K$67,MATCH(B168,INSUMOS!$B$5:$B$67,0)),""))</f>
        <v/>
      </c>
      <c r="F168" s="7" t="n"/>
    </row>
    <row r="169">
      <c r="A169" s="12" t="n"/>
      <c r="B169" s="7" t="n"/>
      <c r="C169" s="7" t="n"/>
      <c r="D169" s="7" t="n"/>
      <c r="E169" s="10">
        <f>IF(OR(B169="",C169=""),"",IFERROR(C169*INDEX(INSUMOS!$K$5:$K$67,MATCH(B169,INSUMOS!$B$5:$B$67,0)),""))</f>
        <v/>
      </c>
      <c r="F169" s="7" t="n"/>
    </row>
    <row r="170">
      <c r="A170" s="12" t="n"/>
      <c r="B170" s="7" t="n"/>
      <c r="C170" s="7" t="n"/>
      <c r="D170" s="7" t="n"/>
      <c r="E170" s="10">
        <f>IF(OR(B170="",C170=""),"",IFERROR(C170*INDEX(INSUMOS!$K$5:$K$67,MATCH(B170,INSUMOS!$B$5:$B$67,0)),""))</f>
        <v/>
      </c>
      <c r="F170" s="7" t="n"/>
    </row>
    <row r="171">
      <c r="A171" s="12" t="n"/>
      <c r="B171" s="7" t="n"/>
      <c r="C171" s="7" t="n"/>
      <c r="D171" s="7" t="n"/>
      <c r="E171" s="10">
        <f>IF(OR(B171="",C171=""),"",IFERROR(C171*INDEX(INSUMOS!$K$5:$K$67,MATCH(B171,INSUMOS!$B$5:$B$67,0)),""))</f>
        <v/>
      </c>
      <c r="F171" s="7" t="n"/>
    </row>
    <row r="172">
      <c r="A172" s="12" t="n"/>
      <c r="B172" s="7" t="n"/>
      <c r="C172" s="7" t="n"/>
      <c r="D172" s="7" t="n"/>
      <c r="E172" s="10">
        <f>IF(OR(B172="",C172=""),"",IFERROR(C172*INDEX(INSUMOS!$K$5:$K$67,MATCH(B172,INSUMOS!$B$5:$B$67,0)),""))</f>
        <v/>
      </c>
      <c r="F172" s="7" t="n"/>
    </row>
    <row r="173">
      <c r="A173" s="12" t="n"/>
      <c r="B173" s="7" t="n"/>
      <c r="C173" s="7" t="n"/>
      <c r="D173" s="7" t="n"/>
      <c r="E173" s="10">
        <f>IF(OR(B173="",C173=""),"",IFERROR(C173*INDEX(INSUMOS!$K$5:$K$67,MATCH(B173,INSUMOS!$B$5:$B$67,0)),""))</f>
        <v/>
      </c>
      <c r="F173" s="7" t="n"/>
    </row>
    <row r="174">
      <c r="A174" s="12" t="n"/>
      <c r="B174" s="7" t="n"/>
      <c r="C174" s="7" t="n"/>
      <c r="D174" s="7" t="n"/>
      <c r="E174" s="10">
        <f>IF(OR(B174="",C174=""),"",IFERROR(C174*INDEX(INSUMOS!$K$5:$K$67,MATCH(B174,INSUMOS!$B$5:$B$67,0)),""))</f>
        <v/>
      </c>
      <c r="F174" s="7" t="n"/>
    </row>
    <row r="175">
      <c r="A175" s="12" t="n"/>
      <c r="B175" s="7" t="n"/>
      <c r="C175" s="7" t="n"/>
      <c r="D175" s="7" t="n"/>
      <c r="E175" s="10">
        <f>IF(OR(B175="",C175=""),"",IFERROR(C175*INDEX(INSUMOS!$K$5:$K$67,MATCH(B175,INSUMOS!$B$5:$B$67,0)),""))</f>
        <v/>
      </c>
      <c r="F175" s="7" t="n"/>
    </row>
    <row r="176">
      <c r="A176" s="12" t="n"/>
      <c r="B176" s="7" t="n"/>
      <c r="C176" s="7" t="n"/>
      <c r="D176" s="7" t="n"/>
      <c r="E176" s="10">
        <f>IF(OR(B176="",C176=""),"",IFERROR(C176*INDEX(INSUMOS!$K$5:$K$67,MATCH(B176,INSUMOS!$B$5:$B$67,0)),""))</f>
        <v/>
      </c>
      <c r="F176" s="7" t="n"/>
    </row>
    <row r="177">
      <c r="A177" s="12" t="n"/>
      <c r="B177" s="7" t="n"/>
      <c r="C177" s="7" t="n"/>
      <c r="D177" s="7" t="n"/>
      <c r="E177" s="10">
        <f>IF(OR(B177="",C177=""),"",IFERROR(C177*INDEX(INSUMOS!$K$5:$K$67,MATCH(B177,INSUMOS!$B$5:$B$67,0)),""))</f>
        <v/>
      </c>
      <c r="F177" s="7" t="n"/>
    </row>
    <row r="178">
      <c r="A178" s="12" t="n"/>
      <c r="B178" s="7" t="n"/>
      <c r="C178" s="7" t="n"/>
      <c r="D178" s="7" t="n"/>
      <c r="E178" s="10">
        <f>IF(OR(B178="",C178=""),"",IFERROR(C178*INDEX(INSUMOS!$K$5:$K$67,MATCH(B178,INSUMOS!$B$5:$B$67,0)),""))</f>
        <v/>
      </c>
      <c r="F178" s="7" t="n"/>
    </row>
    <row r="179">
      <c r="A179" s="12" t="n"/>
      <c r="B179" s="7" t="n"/>
      <c r="C179" s="7" t="n"/>
      <c r="D179" s="7" t="n"/>
      <c r="E179" s="10">
        <f>IF(OR(B179="",C179=""),"",IFERROR(C179*INDEX(INSUMOS!$K$5:$K$67,MATCH(B179,INSUMOS!$B$5:$B$67,0)),""))</f>
        <v/>
      </c>
      <c r="F179" s="7" t="n"/>
    </row>
    <row r="180">
      <c r="A180" s="12" t="n"/>
      <c r="B180" s="7" t="n"/>
      <c r="C180" s="7" t="n"/>
      <c r="D180" s="7" t="n"/>
      <c r="E180" s="10">
        <f>IF(OR(B180="",C180=""),"",IFERROR(C180*INDEX(INSUMOS!$K$5:$K$67,MATCH(B180,INSUMOS!$B$5:$B$67,0)),""))</f>
        <v/>
      </c>
      <c r="F180" s="7" t="n"/>
    </row>
    <row r="181">
      <c r="A181" s="12" t="n"/>
      <c r="B181" s="7" t="n"/>
      <c r="C181" s="7" t="n"/>
      <c r="D181" s="7" t="n"/>
      <c r="E181" s="10">
        <f>IF(OR(B181="",C181=""),"",IFERROR(C181*INDEX(INSUMOS!$K$5:$K$67,MATCH(B181,INSUMOS!$B$5:$B$67,0)),""))</f>
        <v/>
      </c>
      <c r="F181" s="7" t="n"/>
    </row>
    <row r="182">
      <c r="A182" s="12" t="n"/>
      <c r="B182" s="7" t="n"/>
      <c r="C182" s="7" t="n"/>
      <c r="D182" s="7" t="n"/>
      <c r="E182" s="10">
        <f>IF(OR(B182="",C182=""),"",IFERROR(C182*INDEX(INSUMOS!$K$5:$K$67,MATCH(B182,INSUMOS!$B$5:$B$67,0)),""))</f>
        <v/>
      </c>
      <c r="F182" s="7" t="n"/>
    </row>
    <row r="183">
      <c r="A183" s="12" t="n"/>
      <c r="B183" s="7" t="n"/>
      <c r="C183" s="7" t="n"/>
      <c r="D183" s="7" t="n"/>
      <c r="E183" s="10">
        <f>IF(OR(B183="",C183=""),"",IFERROR(C183*INDEX(INSUMOS!$K$5:$K$67,MATCH(B183,INSUMOS!$B$5:$B$67,0)),""))</f>
        <v/>
      </c>
      <c r="F183" s="7" t="n"/>
    </row>
    <row r="184">
      <c r="A184" s="12" t="n"/>
      <c r="B184" s="7" t="n"/>
      <c r="C184" s="7" t="n"/>
      <c r="D184" s="7" t="n"/>
      <c r="E184" s="10">
        <f>IF(OR(B184="",C184=""),"",IFERROR(C184*INDEX(INSUMOS!$K$5:$K$67,MATCH(B184,INSUMOS!$B$5:$B$67,0)),""))</f>
        <v/>
      </c>
      <c r="F184" s="7" t="n"/>
    </row>
    <row r="185">
      <c r="A185" s="12" t="n"/>
      <c r="B185" s="7" t="n"/>
      <c r="C185" s="7" t="n"/>
      <c r="D185" s="7" t="n"/>
      <c r="E185" s="10">
        <f>IF(OR(B185="",C185=""),"",IFERROR(C185*INDEX(INSUMOS!$K$5:$K$67,MATCH(B185,INSUMOS!$B$5:$B$67,0)),""))</f>
        <v/>
      </c>
      <c r="F185" s="7" t="n"/>
    </row>
    <row r="186">
      <c r="A186" s="12" t="n"/>
      <c r="B186" s="7" t="n"/>
      <c r="C186" s="7" t="n"/>
      <c r="D186" s="7" t="n"/>
      <c r="E186" s="10">
        <f>IF(OR(B186="",C186=""),"",IFERROR(C186*INDEX(INSUMOS!$K$5:$K$67,MATCH(B186,INSUMOS!$B$5:$B$67,0)),""))</f>
        <v/>
      </c>
      <c r="F186" s="7" t="n"/>
    </row>
    <row r="187">
      <c r="A187" s="12" t="n"/>
      <c r="B187" s="7" t="n"/>
      <c r="C187" s="7" t="n"/>
      <c r="D187" s="7" t="n"/>
      <c r="E187" s="10">
        <f>IF(OR(B187="",C187=""),"",IFERROR(C187*INDEX(INSUMOS!$K$5:$K$67,MATCH(B187,INSUMOS!$B$5:$B$67,0)),""))</f>
        <v/>
      </c>
      <c r="F187" s="7" t="n"/>
    </row>
    <row r="188">
      <c r="A188" s="12" t="n"/>
      <c r="B188" s="7" t="n"/>
      <c r="C188" s="7" t="n"/>
      <c r="D188" s="7" t="n"/>
      <c r="E188" s="10">
        <f>IF(OR(B188="",C188=""),"",IFERROR(C188*INDEX(INSUMOS!$K$5:$K$67,MATCH(B188,INSUMOS!$B$5:$B$67,0)),""))</f>
        <v/>
      </c>
      <c r="F188" s="7" t="n"/>
    </row>
    <row r="189">
      <c r="A189" s="12" t="n"/>
      <c r="B189" s="7" t="n"/>
      <c r="C189" s="7" t="n"/>
      <c r="D189" s="7" t="n"/>
      <c r="E189" s="10">
        <f>IF(OR(B189="",C189=""),"",IFERROR(C189*INDEX(INSUMOS!$K$5:$K$67,MATCH(B189,INSUMOS!$B$5:$B$67,0)),""))</f>
        <v/>
      </c>
      <c r="F189" s="7" t="n"/>
    </row>
    <row r="190">
      <c r="A190" s="12" t="n"/>
      <c r="B190" s="7" t="n"/>
      <c r="C190" s="7" t="n"/>
      <c r="D190" s="7" t="n"/>
      <c r="E190" s="10">
        <f>IF(OR(B190="",C190=""),"",IFERROR(C190*INDEX(INSUMOS!$K$5:$K$67,MATCH(B190,INSUMOS!$B$5:$B$67,0)),""))</f>
        <v/>
      </c>
      <c r="F190" s="7" t="n"/>
    </row>
    <row r="191">
      <c r="A191" s="12" t="n"/>
      <c r="B191" s="7" t="n"/>
      <c r="C191" s="7" t="n"/>
      <c r="D191" s="7" t="n"/>
      <c r="E191" s="10">
        <f>IF(OR(B191="",C191=""),"",IFERROR(C191*INDEX(INSUMOS!$K$5:$K$67,MATCH(B191,INSUMOS!$B$5:$B$67,0)),""))</f>
        <v/>
      </c>
      <c r="F191" s="7" t="n"/>
    </row>
    <row r="192">
      <c r="A192" s="12" t="n"/>
      <c r="B192" s="7" t="n"/>
      <c r="C192" s="7" t="n"/>
      <c r="D192" s="7" t="n"/>
      <c r="E192" s="10">
        <f>IF(OR(B192="",C192=""),"",IFERROR(C192*INDEX(INSUMOS!$K$5:$K$67,MATCH(B192,INSUMOS!$B$5:$B$67,0)),""))</f>
        <v/>
      </c>
      <c r="F192" s="7" t="n"/>
    </row>
    <row r="193">
      <c r="A193" s="12" t="n"/>
      <c r="B193" s="7" t="n"/>
      <c r="C193" s="7" t="n"/>
      <c r="D193" s="7" t="n"/>
      <c r="E193" s="10">
        <f>IF(OR(B193="",C193=""),"",IFERROR(C193*INDEX(INSUMOS!$K$5:$K$67,MATCH(B193,INSUMOS!$B$5:$B$67,0)),""))</f>
        <v/>
      </c>
      <c r="F193" s="7" t="n"/>
    </row>
    <row r="194">
      <c r="A194" s="12" t="n"/>
      <c r="B194" s="7" t="n"/>
      <c r="C194" s="7" t="n"/>
      <c r="D194" s="7" t="n"/>
      <c r="E194" s="10">
        <f>IF(OR(B194="",C194=""),"",IFERROR(C194*INDEX(INSUMOS!$K$5:$K$67,MATCH(B194,INSUMOS!$B$5:$B$67,0)),""))</f>
        <v/>
      </c>
      <c r="F194" s="7" t="n"/>
    </row>
    <row r="195">
      <c r="A195" s="12" t="n"/>
      <c r="B195" s="7" t="n"/>
      <c r="C195" s="7" t="n"/>
      <c r="D195" s="7" t="n"/>
      <c r="E195" s="10">
        <f>IF(OR(B195="",C195=""),"",IFERROR(C195*INDEX(INSUMOS!$K$5:$K$67,MATCH(B195,INSUMOS!$B$5:$B$67,0)),""))</f>
        <v/>
      </c>
      <c r="F195" s="7" t="n"/>
    </row>
    <row r="196">
      <c r="A196" s="12" t="n"/>
      <c r="B196" s="7" t="n"/>
      <c r="C196" s="7" t="n"/>
      <c r="D196" s="7" t="n"/>
      <c r="E196" s="10">
        <f>IF(OR(B196="",C196=""),"",IFERROR(C196*INDEX(INSUMOS!$K$5:$K$67,MATCH(B196,INSUMOS!$B$5:$B$67,0)),""))</f>
        <v/>
      </c>
      <c r="F196" s="7" t="n"/>
    </row>
    <row r="197">
      <c r="A197" s="12" t="n"/>
      <c r="B197" s="7" t="n"/>
      <c r="C197" s="7" t="n"/>
      <c r="D197" s="7" t="n"/>
      <c r="E197" s="10">
        <f>IF(OR(B197="",C197=""),"",IFERROR(C197*INDEX(INSUMOS!$K$5:$K$67,MATCH(B197,INSUMOS!$B$5:$B$67,0)),""))</f>
        <v/>
      </c>
      <c r="F197" s="7" t="n"/>
    </row>
    <row r="198">
      <c r="A198" s="12" t="n"/>
      <c r="B198" s="7" t="n"/>
      <c r="C198" s="7" t="n"/>
      <c r="D198" s="7" t="n"/>
      <c r="E198" s="10">
        <f>IF(OR(B198="",C198=""),"",IFERROR(C198*INDEX(INSUMOS!$K$5:$K$67,MATCH(B198,INSUMOS!$B$5:$B$67,0)),""))</f>
        <v/>
      </c>
      <c r="F198" s="7" t="n"/>
    </row>
    <row r="199">
      <c r="A199" s="12" t="n"/>
      <c r="B199" s="7" t="n"/>
      <c r="C199" s="7" t="n"/>
      <c r="D199" s="7" t="n"/>
      <c r="E199" s="10">
        <f>IF(OR(B199="",C199=""),"",IFERROR(C199*INDEX(INSUMOS!$K$5:$K$67,MATCH(B199,INSUMOS!$B$5:$B$67,0)),""))</f>
        <v/>
      </c>
      <c r="F199" s="7" t="n"/>
    </row>
    <row r="200">
      <c r="A200" s="12" t="n"/>
      <c r="B200" s="7" t="n"/>
      <c r="C200" s="7" t="n"/>
      <c r="D200" s="7" t="n"/>
      <c r="E200" s="10">
        <f>IF(OR(B200="",C200=""),"",IFERROR(C200*INDEX(INSUMOS!$K$5:$K$67,MATCH(B200,INSUMOS!$B$5:$B$67,0)),""))</f>
        <v/>
      </c>
      <c r="F200" s="7" t="n"/>
    </row>
    <row r="201">
      <c r="A201" s="12" t="n"/>
      <c r="B201" s="7" t="n"/>
      <c r="C201" s="7" t="n"/>
      <c r="D201" s="7" t="n"/>
      <c r="E201" s="10">
        <f>IF(OR(B201="",C201=""),"",IFERROR(C201*INDEX(INSUMOS!$K$5:$K$67,MATCH(B201,INSUMOS!$B$5:$B$67,0)),""))</f>
        <v/>
      </c>
      <c r="F201" s="7" t="n"/>
    </row>
    <row r="202">
      <c r="A202" s="12" t="n"/>
      <c r="B202" s="7" t="n"/>
      <c r="C202" s="7" t="n"/>
      <c r="D202" s="7" t="n"/>
      <c r="E202" s="10">
        <f>IF(OR(B202="",C202=""),"",IFERROR(C202*INDEX(INSUMOS!$K$5:$K$67,MATCH(B202,INSUMOS!$B$5:$B$67,0)),""))</f>
        <v/>
      </c>
      <c r="F202" s="7" t="n"/>
    </row>
    <row r="203">
      <c r="A203" s="12" t="n"/>
      <c r="B203" s="7" t="n"/>
      <c r="C203" s="7" t="n"/>
      <c r="D203" s="7" t="n"/>
      <c r="E203" s="10">
        <f>IF(OR(B203="",C203=""),"",IFERROR(C203*INDEX(INSUMOS!$K$5:$K$67,MATCH(B203,INSUMOS!$B$5:$B$67,0)),""))</f>
        <v/>
      </c>
      <c r="F203" s="7" t="n"/>
    </row>
    <row r="204">
      <c r="A204" s="12" t="n"/>
      <c r="B204" s="7" t="n"/>
      <c r="C204" s="7" t="n"/>
      <c r="D204" s="7" t="n"/>
      <c r="E204" s="10">
        <f>IF(OR(B204="",C204=""),"",IFERROR(C204*INDEX(INSUMOS!$K$5:$K$67,MATCH(B204,INSUMOS!$B$5:$B$67,0)),""))</f>
        <v/>
      </c>
      <c r="F204" s="7" t="n"/>
    </row>
    <row r="205">
      <c r="A205" s="12" t="n"/>
      <c r="B205" s="7" t="n"/>
      <c r="C205" s="7" t="n"/>
      <c r="D205" s="7" t="n"/>
      <c r="E205" s="10">
        <f>IF(OR(B205="",C205=""),"",IFERROR(C205*INDEX(INSUMOS!$K$5:$K$67,MATCH(B205,INSUMOS!$B$5:$B$67,0)),""))</f>
        <v/>
      </c>
      <c r="F205" s="7" t="n"/>
    </row>
    <row r="206">
      <c r="A206" s="12" t="n"/>
      <c r="B206" s="7" t="n"/>
      <c r="C206" s="7" t="n"/>
      <c r="D206" s="7" t="n"/>
      <c r="E206" s="10">
        <f>IF(OR(B206="",C206=""),"",IFERROR(C206*INDEX(INSUMOS!$K$5:$K$67,MATCH(B206,INSUMOS!$B$5:$B$67,0)),""))</f>
        <v/>
      </c>
      <c r="F206" s="7" t="n"/>
    </row>
    <row r="207">
      <c r="A207" s="12" t="n"/>
      <c r="B207" s="7" t="n"/>
      <c r="C207" s="7" t="n"/>
      <c r="D207" s="7" t="n"/>
      <c r="E207" s="10">
        <f>IF(OR(B207="",C207=""),"",IFERROR(C207*INDEX(INSUMOS!$K$5:$K$67,MATCH(B207,INSUMOS!$B$5:$B$67,0)),""))</f>
        <v/>
      </c>
      <c r="F207" s="7" t="n"/>
    </row>
    <row r="208">
      <c r="A208" s="12" t="n"/>
      <c r="B208" s="7" t="n"/>
      <c r="C208" s="7" t="n"/>
      <c r="D208" s="7" t="n"/>
      <c r="E208" s="10">
        <f>IF(OR(B208="",C208=""),"",IFERROR(C208*INDEX(INSUMOS!$K$5:$K$67,MATCH(B208,INSUMOS!$B$5:$B$67,0)),""))</f>
        <v/>
      </c>
      <c r="F208" s="7" t="n"/>
    </row>
    <row r="209">
      <c r="A209" s="12" t="n"/>
      <c r="B209" s="7" t="n"/>
      <c r="C209" s="7" t="n"/>
      <c r="D209" s="7" t="n"/>
      <c r="E209" s="10">
        <f>IF(OR(B209="",C209=""),"",IFERROR(C209*INDEX(INSUMOS!$K$5:$K$67,MATCH(B209,INSUMOS!$B$5:$B$67,0)),""))</f>
        <v/>
      </c>
      <c r="F209" s="7" t="n"/>
    </row>
    <row r="210">
      <c r="A210" s="12" t="n"/>
      <c r="B210" s="7" t="n"/>
      <c r="C210" s="7" t="n"/>
      <c r="D210" s="7" t="n"/>
      <c r="E210" s="10">
        <f>IF(OR(B210="",C210=""),"",IFERROR(C210*INDEX(INSUMOS!$K$5:$K$67,MATCH(B210,INSUMOS!$B$5:$B$67,0)),""))</f>
        <v/>
      </c>
      <c r="F210" s="7" t="n"/>
    </row>
    <row r="211">
      <c r="A211" s="12" t="n"/>
      <c r="B211" s="7" t="n"/>
      <c r="C211" s="7" t="n"/>
      <c r="D211" s="7" t="n"/>
      <c r="E211" s="10">
        <f>IF(OR(B211="",C211=""),"",IFERROR(C211*INDEX(INSUMOS!$K$5:$K$67,MATCH(B211,INSUMOS!$B$5:$B$67,0)),""))</f>
        <v/>
      </c>
      <c r="F211" s="7" t="n"/>
    </row>
    <row r="212">
      <c r="A212" s="12" t="n"/>
      <c r="B212" s="7" t="n"/>
      <c r="C212" s="7" t="n"/>
      <c r="D212" s="7" t="n"/>
      <c r="E212" s="10">
        <f>IF(OR(B212="",C212=""),"",IFERROR(C212*INDEX(INSUMOS!$K$5:$K$67,MATCH(B212,INSUMOS!$B$5:$B$67,0)),""))</f>
        <v/>
      </c>
      <c r="F212" s="7" t="n"/>
    </row>
    <row r="213">
      <c r="A213" s="12" t="n"/>
      <c r="B213" s="7" t="n"/>
      <c r="C213" s="7" t="n"/>
      <c r="D213" s="7" t="n"/>
      <c r="E213" s="10">
        <f>IF(OR(B213="",C213=""),"",IFERROR(C213*INDEX(INSUMOS!$K$5:$K$67,MATCH(B213,INSUMOS!$B$5:$B$67,0)),""))</f>
        <v/>
      </c>
      <c r="F213" s="7" t="n"/>
    </row>
    <row r="214">
      <c r="A214" s="12" t="n"/>
      <c r="B214" s="7" t="n"/>
      <c r="C214" s="7" t="n"/>
      <c r="D214" s="7" t="n"/>
      <c r="E214" s="10">
        <f>IF(OR(B214="",C214=""),"",IFERROR(C214*INDEX(INSUMOS!$K$5:$K$67,MATCH(B214,INSUMOS!$B$5:$B$67,0)),""))</f>
        <v/>
      </c>
      <c r="F214" s="7" t="n"/>
    </row>
    <row r="215">
      <c r="A215" s="12" t="n"/>
      <c r="B215" s="7" t="n"/>
      <c r="C215" s="7" t="n"/>
      <c r="D215" s="7" t="n"/>
      <c r="E215" s="10">
        <f>IF(OR(B215="",C215=""),"",IFERROR(C215*INDEX(INSUMOS!$K$5:$K$67,MATCH(B215,INSUMOS!$B$5:$B$67,0)),""))</f>
        <v/>
      </c>
      <c r="F215" s="7" t="n"/>
    </row>
    <row r="216">
      <c r="A216" s="12" t="n"/>
      <c r="B216" s="7" t="n"/>
      <c r="C216" s="7" t="n"/>
      <c r="D216" s="7" t="n"/>
      <c r="E216" s="10">
        <f>IF(OR(B216="",C216=""),"",IFERROR(C216*INDEX(INSUMOS!$K$5:$K$67,MATCH(B216,INSUMOS!$B$5:$B$67,0)),""))</f>
        <v/>
      </c>
      <c r="F216" s="7" t="n"/>
    </row>
    <row r="217">
      <c r="A217" s="12" t="n"/>
      <c r="B217" s="7" t="n"/>
      <c r="C217" s="7" t="n"/>
      <c r="D217" s="7" t="n"/>
      <c r="E217" s="10">
        <f>IF(OR(B217="",C217=""),"",IFERROR(C217*INDEX(INSUMOS!$K$5:$K$67,MATCH(B217,INSUMOS!$B$5:$B$67,0)),""))</f>
        <v/>
      </c>
      <c r="F217" s="7" t="n"/>
    </row>
    <row r="218">
      <c r="A218" s="12" t="n"/>
      <c r="B218" s="7" t="n"/>
      <c r="C218" s="7" t="n"/>
      <c r="D218" s="7" t="n"/>
      <c r="E218" s="10">
        <f>IF(OR(B218="",C218=""),"",IFERROR(C218*INDEX(INSUMOS!$K$5:$K$67,MATCH(B218,INSUMOS!$B$5:$B$67,0)),""))</f>
        <v/>
      </c>
      <c r="F218" s="7" t="n"/>
    </row>
    <row r="219">
      <c r="A219" s="12" t="n"/>
      <c r="B219" s="7" t="n"/>
      <c r="C219" s="7" t="n"/>
      <c r="D219" s="7" t="n"/>
      <c r="E219" s="10">
        <f>IF(OR(B219="",C219=""),"",IFERROR(C219*INDEX(INSUMOS!$K$5:$K$67,MATCH(B219,INSUMOS!$B$5:$B$67,0)),""))</f>
        <v/>
      </c>
      <c r="F219" s="7" t="n"/>
    </row>
    <row r="220">
      <c r="A220" s="12" t="n"/>
      <c r="B220" s="7" t="n"/>
      <c r="C220" s="7" t="n"/>
      <c r="D220" s="7" t="n"/>
      <c r="E220" s="10">
        <f>IF(OR(B220="",C220=""),"",IFERROR(C220*INDEX(INSUMOS!$K$5:$K$67,MATCH(B220,INSUMOS!$B$5:$B$67,0)),""))</f>
        <v/>
      </c>
      <c r="F220" s="7" t="n"/>
    </row>
    <row r="221">
      <c r="A221" s="12" t="n"/>
      <c r="B221" s="7" t="n"/>
      <c r="C221" s="7" t="n"/>
      <c r="D221" s="7" t="n"/>
      <c r="E221" s="10">
        <f>IF(OR(B221="",C221=""),"",IFERROR(C221*INDEX(INSUMOS!$K$5:$K$67,MATCH(B221,INSUMOS!$B$5:$B$67,0)),""))</f>
        <v/>
      </c>
      <c r="F221" s="7" t="n"/>
    </row>
    <row r="222">
      <c r="A222" s="12" t="n"/>
      <c r="B222" s="7" t="n"/>
      <c r="C222" s="7" t="n"/>
      <c r="D222" s="7" t="n"/>
      <c r="E222" s="10">
        <f>IF(OR(B222="",C222=""),"",IFERROR(C222*INDEX(INSUMOS!$K$5:$K$67,MATCH(B222,INSUMOS!$B$5:$B$67,0)),""))</f>
        <v/>
      </c>
      <c r="F222" s="7" t="n"/>
    </row>
    <row r="223">
      <c r="A223" s="12" t="n"/>
      <c r="B223" s="7" t="n"/>
      <c r="C223" s="7" t="n"/>
      <c r="D223" s="7" t="n"/>
      <c r="E223" s="10">
        <f>IF(OR(B223="",C223=""),"",IFERROR(C223*INDEX(INSUMOS!$K$5:$K$67,MATCH(B223,INSUMOS!$B$5:$B$67,0)),""))</f>
        <v/>
      </c>
      <c r="F223" s="7" t="n"/>
    </row>
    <row r="224">
      <c r="A224" s="12" t="n"/>
      <c r="B224" s="7" t="n"/>
      <c r="C224" s="7" t="n"/>
      <c r="D224" s="7" t="n"/>
      <c r="E224" s="10">
        <f>IF(OR(B224="",C224=""),"",IFERROR(C224*INDEX(INSUMOS!$K$5:$K$67,MATCH(B224,INSUMOS!$B$5:$B$67,0)),""))</f>
        <v/>
      </c>
      <c r="F224" s="7" t="n"/>
    </row>
    <row r="225">
      <c r="A225" s="12" t="n"/>
      <c r="B225" s="7" t="n"/>
      <c r="C225" s="7" t="n"/>
      <c r="D225" s="7" t="n"/>
      <c r="E225" s="10">
        <f>IF(OR(B225="",C225=""),"",IFERROR(C225*INDEX(INSUMOS!$K$5:$K$67,MATCH(B225,INSUMOS!$B$5:$B$67,0)),""))</f>
        <v/>
      </c>
      <c r="F225" s="7" t="n"/>
    </row>
    <row r="226">
      <c r="A226" s="12" t="n"/>
      <c r="B226" s="7" t="n"/>
      <c r="C226" s="7" t="n"/>
      <c r="D226" s="7" t="n"/>
      <c r="E226" s="10">
        <f>IF(OR(B226="",C226=""),"",IFERROR(C226*INDEX(INSUMOS!$K$5:$K$67,MATCH(B226,INSUMOS!$B$5:$B$67,0)),""))</f>
        <v/>
      </c>
      <c r="F226" s="7" t="n"/>
    </row>
    <row r="227">
      <c r="A227" s="12" t="n"/>
      <c r="B227" s="7" t="n"/>
      <c r="C227" s="7" t="n"/>
      <c r="D227" s="7" t="n"/>
      <c r="E227" s="10">
        <f>IF(OR(B227="",C227=""),"",IFERROR(C227*INDEX(INSUMOS!$K$5:$K$67,MATCH(B227,INSUMOS!$B$5:$B$67,0)),""))</f>
        <v/>
      </c>
      <c r="F227" s="7" t="n"/>
    </row>
    <row r="228">
      <c r="A228" s="12" t="n"/>
      <c r="B228" s="7" t="n"/>
      <c r="C228" s="7" t="n"/>
      <c r="D228" s="7" t="n"/>
      <c r="E228" s="10">
        <f>IF(OR(B228="",C228=""),"",IFERROR(C228*INDEX(INSUMOS!$K$5:$K$67,MATCH(B228,INSUMOS!$B$5:$B$67,0)),""))</f>
        <v/>
      </c>
      <c r="F228" s="7" t="n"/>
    </row>
    <row r="229">
      <c r="A229" s="12" t="n"/>
      <c r="B229" s="7" t="n"/>
      <c r="C229" s="7" t="n"/>
      <c r="D229" s="7" t="n"/>
      <c r="E229" s="10">
        <f>IF(OR(B229="",C229=""),"",IFERROR(C229*INDEX(INSUMOS!$K$5:$K$67,MATCH(B229,INSUMOS!$B$5:$B$67,0)),""))</f>
        <v/>
      </c>
      <c r="F229" s="7" t="n"/>
    </row>
    <row r="230">
      <c r="A230" s="12" t="n"/>
      <c r="B230" s="7" t="n"/>
      <c r="C230" s="7" t="n"/>
      <c r="D230" s="7" t="n"/>
      <c r="E230" s="10">
        <f>IF(OR(B230="",C230=""),"",IFERROR(C230*INDEX(INSUMOS!$K$5:$K$67,MATCH(B230,INSUMOS!$B$5:$B$67,0)),""))</f>
        <v/>
      </c>
      <c r="F230" s="7" t="n"/>
    </row>
    <row r="231">
      <c r="A231" s="12" t="n"/>
      <c r="B231" s="7" t="n"/>
      <c r="C231" s="7" t="n"/>
      <c r="D231" s="7" t="n"/>
      <c r="E231" s="10">
        <f>IF(OR(B231="",C231=""),"",IFERROR(C231*INDEX(INSUMOS!$K$5:$K$67,MATCH(B231,INSUMOS!$B$5:$B$67,0)),""))</f>
        <v/>
      </c>
      <c r="F231" s="7" t="n"/>
    </row>
    <row r="232">
      <c r="A232" s="12" t="n"/>
      <c r="B232" s="7" t="n"/>
      <c r="C232" s="7" t="n"/>
      <c r="D232" s="7" t="n"/>
      <c r="E232" s="10">
        <f>IF(OR(B232="",C232=""),"",IFERROR(C232*INDEX(INSUMOS!$K$5:$K$67,MATCH(B232,INSUMOS!$B$5:$B$67,0)),""))</f>
        <v/>
      </c>
      <c r="F232" s="7" t="n"/>
    </row>
    <row r="233">
      <c r="A233" s="12" t="n"/>
      <c r="B233" s="7" t="n"/>
      <c r="C233" s="7" t="n"/>
      <c r="D233" s="7" t="n"/>
      <c r="E233" s="10">
        <f>IF(OR(B233="",C233=""),"",IFERROR(C233*INDEX(INSUMOS!$K$5:$K$67,MATCH(B233,INSUMOS!$B$5:$B$67,0)),""))</f>
        <v/>
      </c>
      <c r="F233" s="7" t="n"/>
    </row>
    <row r="234">
      <c r="A234" s="12" t="n"/>
      <c r="B234" s="7" t="n"/>
      <c r="C234" s="7" t="n"/>
      <c r="D234" s="7" t="n"/>
      <c r="E234" s="10">
        <f>IF(OR(B234="",C234=""),"",IFERROR(C234*INDEX(INSUMOS!$K$5:$K$67,MATCH(B234,INSUMOS!$B$5:$B$67,0)),""))</f>
        <v/>
      </c>
      <c r="F234" s="7" t="n"/>
    </row>
    <row r="235">
      <c r="A235" s="12" t="n"/>
      <c r="B235" s="7" t="n"/>
      <c r="C235" s="7" t="n"/>
      <c r="D235" s="7" t="n"/>
      <c r="E235" s="10">
        <f>IF(OR(B235="",C235=""),"",IFERROR(C235*INDEX(INSUMOS!$K$5:$K$67,MATCH(B235,INSUMOS!$B$5:$B$67,0)),""))</f>
        <v/>
      </c>
      <c r="F235" s="7" t="n"/>
    </row>
    <row r="236">
      <c r="A236" s="12" t="n"/>
      <c r="B236" s="7" t="n"/>
      <c r="C236" s="7" t="n"/>
      <c r="D236" s="7" t="n"/>
      <c r="E236" s="10">
        <f>IF(OR(B236="",C236=""),"",IFERROR(C236*INDEX(INSUMOS!$K$5:$K$67,MATCH(B236,INSUMOS!$B$5:$B$67,0)),""))</f>
        <v/>
      </c>
      <c r="F236" s="7" t="n"/>
    </row>
    <row r="237">
      <c r="A237" s="12" t="n"/>
      <c r="B237" s="7" t="n"/>
      <c r="C237" s="7" t="n"/>
      <c r="D237" s="7" t="n"/>
      <c r="E237" s="10">
        <f>IF(OR(B237="",C237=""),"",IFERROR(C237*INDEX(INSUMOS!$K$5:$K$67,MATCH(B237,INSUMOS!$B$5:$B$67,0)),""))</f>
        <v/>
      </c>
      <c r="F237" s="7" t="n"/>
    </row>
    <row r="238">
      <c r="A238" s="12" t="n"/>
      <c r="B238" s="7" t="n"/>
      <c r="C238" s="7" t="n"/>
      <c r="D238" s="7" t="n"/>
      <c r="E238" s="10">
        <f>IF(OR(B238="",C238=""),"",IFERROR(C238*INDEX(INSUMOS!$K$5:$K$67,MATCH(B238,INSUMOS!$B$5:$B$67,0)),""))</f>
        <v/>
      </c>
      <c r="F238" s="7" t="n"/>
    </row>
    <row r="239">
      <c r="A239" s="12" t="n"/>
      <c r="B239" s="7" t="n"/>
      <c r="C239" s="7" t="n"/>
      <c r="D239" s="7" t="n"/>
      <c r="E239" s="10">
        <f>IF(OR(B239="",C239=""),"",IFERROR(C239*INDEX(INSUMOS!$K$5:$K$67,MATCH(B239,INSUMOS!$B$5:$B$67,0)),""))</f>
        <v/>
      </c>
      <c r="F239" s="7" t="n"/>
    </row>
    <row r="240">
      <c r="A240" s="12" t="n"/>
      <c r="B240" s="7" t="n"/>
      <c r="C240" s="7" t="n"/>
      <c r="D240" s="7" t="n"/>
      <c r="E240" s="10">
        <f>IF(OR(B240="",C240=""),"",IFERROR(C240*INDEX(INSUMOS!$K$5:$K$67,MATCH(B240,INSUMOS!$B$5:$B$67,0)),""))</f>
        <v/>
      </c>
      <c r="F240" s="7" t="n"/>
    </row>
    <row r="241">
      <c r="A241" s="12" t="n"/>
      <c r="B241" s="7" t="n"/>
      <c r="C241" s="7" t="n"/>
      <c r="D241" s="7" t="n"/>
      <c r="E241" s="10">
        <f>IF(OR(B241="",C241=""),"",IFERROR(C241*INDEX(INSUMOS!$K$5:$K$67,MATCH(B241,INSUMOS!$B$5:$B$67,0)),""))</f>
        <v/>
      </c>
      <c r="F241" s="7" t="n"/>
    </row>
    <row r="242">
      <c r="A242" s="12" t="n"/>
      <c r="B242" s="7" t="n"/>
      <c r="C242" s="7" t="n"/>
      <c r="D242" s="7" t="n"/>
      <c r="E242" s="10">
        <f>IF(OR(B242="",C242=""),"",IFERROR(C242*INDEX(INSUMOS!$K$5:$K$67,MATCH(B242,INSUMOS!$B$5:$B$67,0)),""))</f>
        <v/>
      </c>
      <c r="F242" s="7" t="n"/>
    </row>
    <row r="243">
      <c r="A243" s="12" t="n"/>
      <c r="B243" s="7" t="n"/>
      <c r="C243" s="7" t="n"/>
      <c r="D243" s="7" t="n"/>
      <c r="E243" s="10">
        <f>IF(OR(B243="",C243=""),"",IFERROR(C243*INDEX(INSUMOS!$K$5:$K$67,MATCH(B243,INSUMOS!$B$5:$B$67,0)),""))</f>
        <v/>
      </c>
      <c r="F243" s="7" t="n"/>
    </row>
    <row r="244">
      <c r="A244" s="12" t="n"/>
      <c r="B244" s="7" t="n"/>
      <c r="C244" s="7" t="n"/>
      <c r="D244" s="7" t="n"/>
      <c r="E244" s="10">
        <f>IF(OR(B244="",C244=""),"",IFERROR(C244*INDEX(INSUMOS!$K$5:$K$67,MATCH(B244,INSUMOS!$B$5:$B$67,0)),""))</f>
        <v/>
      </c>
      <c r="F244" s="7" t="n"/>
    </row>
    <row r="245">
      <c r="A245" s="12" t="n"/>
      <c r="B245" s="7" t="n"/>
      <c r="C245" s="7" t="n"/>
      <c r="D245" s="7" t="n"/>
      <c r="E245" s="10">
        <f>IF(OR(B245="",C245=""),"",IFERROR(C245*INDEX(INSUMOS!$K$5:$K$67,MATCH(B245,INSUMOS!$B$5:$B$67,0)),""))</f>
        <v/>
      </c>
      <c r="F245" s="7" t="n"/>
    </row>
    <row r="246">
      <c r="A246" s="12" t="n"/>
      <c r="B246" s="7" t="n"/>
      <c r="C246" s="7" t="n"/>
      <c r="D246" s="7" t="n"/>
      <c r="E246" s="10">
        <f>IF(OR(B246="",C246=""),"",IFERROR(C246*INDEX(INSUMOS!$K$5:$K$67,MATCH(B246,INSUMOS!$B$5:$B$67,0)),""))</f>
        <v/>
      </c>
      <c r="F246" s="7" t="n"/>
    </row>
    <row r="247">
      <c r="A247" s="12" t="n"/>
      <c r="B247" s="7" t="n"/>
      <c r="C247" s="7" t="n"/>
      <c r="D247" s="7" t="n"/>
      <c r="E247" s="10">
        <f>IF(OR(B247="",C247=""),"",IFERROR(C247*INDEX(INSUMOS!$K$5:$K$67,MATCH(B247,INSUMOS!$B$5:$B$67,0)),""))</f>
        <v/>
      </c>
      <c r="F247" s="7" t="n"/>
    </row>
    <row r="248">
      <c r="A248" s="12" t="n"/>
      <c r="B248" s="7" t="n"/>
      <c r="C248" s="7" t="n"/>
      <c r="D248" s="7" t="n"/>
      <c r="E248" s="10">
        <f>IF(OR(B248="",C248=""),"",IFERROR(C248*INDEX(INSUMOS!$K$5:$K$67,MATCH(B248,INSUMOS!$B$5:$B$67,0)),""))</f>
        <v/>
      </c>
      <c r="F248" s="7" t="n"/>
    </row>
    <row r="249">
      <c r="A249" s="12" t="n"/>
      <c r="B249" s="7" t="n"/>
      <c r="C249" s="7" t="n"/>
      <c r="D249" s="7" t="n"/>
      <c r="E249" s="10">
        <f>IF(OR(B249="",C249=""),"",IFERROR(C249*INDEX(INSUMOS!$K$5:$K$67,MATCH(B249,INSUMOS!$B$5:$B$67,0)),""))</f>
        <v/>
      </c>
      <c r="F249" s="7" t="n"/>
    </row>
    <row r="250">
      <c r="A250" s="12" t="n"/>
      <c r="B250" s="7" t="n"/>
      <c r="C250" s="7" t="n"/>
      <c r="D250" s="7" t="n"/>
      <c r="E250" s="10">
        <f>IF(OR(B250="",C250=""),"",IFERROR(C250*INDEX(INSUMOS!$K$5:$K$67,MATCH(B250,INSUMOS!$B$5:$B$67,0)),""))</f>
        <v/>
      </c>
      <c r="F250" s="7" t="n"/>
    </row>
    <row r="251">
      <c r="A251" s="12" t="n"/>
      <c r="B251" s="7" t="n"/>
      <c r="C251" s="7" t="n"/>
      <c r="D251" s="7" t="n"/>
      <c r="E251" s="10">
        <f>IF(OR(B251="",C251=""),"",IFERROR(C251*INDEX(INSUMOS!$K$5:$K$67,MATCH(B251,INSUMOS!$B$5:$B$67,0)),""))</f>
        <v/>
      </c>
      <c r="F251" s="7" t="n"/>
    </row>
    <row r="252">
      <c r="A252" s="12" t="n"/>
      <c r="B252" s="7" t="n"/>
      <c r="C252" s="7" t="n"/>
      <c r="D252" s="7" t="n"/>
      <c r="E252" s="10">
        <f>IF(OR(B252="",C252=""),"",IFERROR(C252*INDEX(INSUMOS!$K$5:$K$67,MATCH(B252,INSUMOS!$B$5:$B$67,0)),""))</f>
        <v/>
      </c>
      <c r="F252" s="7" t="n"/>
    </row>
    <row r="253">
      <c r="A253" s="12" t="n"/>
      <c r="B253" s="7" t="n"/>
      <c r="C253" s="7" t="n"/>
      <c r="D253" s="7" t="n"/>
      <c r="E253" s="10">
        <f>IF(OR(B253="",C253=""),"",IFERROR(C253*INDEX(INSUMOS!$K$5:$K$67,MATCH(B253,INSUMOS!$B$5:$B$67,0)),""))</f>
        <v/>
      </c>
      <c r="F253" s="7" t="n"/>
    </row>
    <row r="254">
      <c r="A254" s="12" t="n"/>
      <c r="B254" s="7" t="n"/>
      <c r="C254" s="7" t="n"/>
      <c r="D254" s="7" t="n"/>
      <c r="E254" s="10">
        <f>IF(OR(B254="",C254=""),"",IFERROR(C254*INDEX(INSUMOS!$K$5:$K$67,MATCH(B254,INSUMOS!$B$5:$B$67,0)),""))</f>
        <v/>
      </c>
      <c r="F254" s="7" t="n"/>
    </row>
    <row r="255">
      <c r="A255" s="12" t="n"/>
      <c r="B255" s="7" t="n"/>
      <c r="C255" s="7" t="n"/>
      <c r="D255" s="7" t="n"/>
      <c r="E255" s="10">
        <f>IF(OR(B255="",C255=""),"",IFERROR(C255*INDEX(INSUMOS!$K$5:$K$67,MATCH(B255,INSUMOS!$B$5:$B$67,0)),""))</f>
        <v/>
      </c>
      <c r="F255" s="7" t="n"/>
    </row>
    <row r="256">
      <c r="A256" s="12" t="n"/>
      <c r="B256" s="7" t="n"/>
      <c r="C256" s="7" t="n"/>
      <c r="D256" s="7" t="n"/>
      <c r="E256" s="10">
        <f>IF(OR(B256="",C256=""),"",IFERROR(C256*INDEX(INSUMOS!$K$5:$K$67,MATCH(B256,INSUMOS!$B$5:$B$67,0)),""))</f>
        <v/>
      </c>
      <c r="F256" s="7" t="n"/>
    </row>
    <row r="257">
      <c r="A257" s="12" t="n"/>
      <c r="B257" s="7" t="n"/>
      <c r="C257" s="7" t="n"/>
      <c r="D257" s="7" t="n"/>
      <c r="E257" s="10">
        <f>IF(OR(B257="",C257=""),"",IFERROR(C257*INDEX(INSUMOS!$K$5:$K$67,MATCH(B257,INSUMOS!$B$5:$B$67,0)),""))</f>
        <v/>
      </c>
      <c r="F257" s="7" t="n"/>
    </row>
    <row r="258">
      <c r="A258" s="12" t="n"/>
      <c r="B258" s="7" t="n"/>
      <c r="C258" s="7" t="n"/>
      <c r="D258" s="7" t="n"/>
      <c r="E258" s="10">
        <f>IF(OR(B258="",C258=""),"",IFERROR(C258*INDEX(INSUMOS!$K$5:$K$67,MATCH(B258,INSUMOS!$B$5:$B$67,0)),""))</f>
        <v/>
      </c>
      <c r="F258" s="7" t="n"/>
    </row>
    <row r="259">
      <c r="A259" s="12" t="n"/>
      <c r="B259" s="7" t="n"/>
      <c r="C259" s="7" t="n"/>
      <c r="D259" s="7" t="n"/>
      <c r="E259" s="10">
        <f>IF(OR(B259="",C259=""),"",IFERROR(C259*INDEX(INSUMOS!$K$5:$K$67,MATCH(B259,INSUMOS!$B$5:$B$67,0)),""))</f>
        <v/>
      </c>
      <c r="F259" s="7" t="n"/>
    </row>
    <row r="260">
      <c r="A260" s="12" t="n"/>
      <c r="B260" s="7" t="n"/>
      <c r="C260" s="7" t="n"/>
      <c r="D260" s="7" t="n"/>
      <c r="E260" s="10">
        <f>IF(OR(B260="",C260=""),"",IFERROR(C260*INDEX(INSUMOS!$K$5:$K$67,MATCH(B260,INSUMOS!$B$5:$B$67,0)),""))</f>
        <v/>
      </c>
      <c r="F260" s="7" t="n"/>
    </row>
    <row r="261">
      <c r="A261" s="12" t="n"/>
      <c r="B261" s="7" t="n"/>
      <c r="C261" s="7" t="n"/>
      <c r="D261" s="7" t="n"/>
      <c r="E261" s="10">
        <f>IF(OR(B261="",C261=""),"",IFERROR(C261*INDEX(INSUMOS!$K$5:$K$67,MATCH(B261,INSUMOS!$B$5:$B$67,0)),""))</f>
        <v/>
      </c>
      <c r="F261" s="7" t="n"/>
    </row>
    <row r="262">
      <c r="A262" s="12" t="n"/>
      <c r="B262" s="7" t="n"/>
      <c r="C262" s="7" t="n"/>
      <c r="D262" s="7" t="n"/>
      <c r="E262" s="10">
        <f>IF(OR(B262="",C262=""),"",IFERROR(C262*INDEX(INSUMOS!$K$5:$K$67,MATCH(B262,INSUMOS!$B$5:$B$67,0)),""))</f>
        <v/>
      </c>
      <c r="F262" s="7" t="n"/>
    </row>
    <row r="263">
      <c r="A263" s="12" t="n"/>
      <c r="B263" s="7" t="n"/>
      <c r="C263" s="7" t="n"/>
      <c r="D263" s="7" t="n"/>
      <c r="E263" s="10">
        <f>IF(OR(B263="",C263=""),"",IFERROR(C263*INDEX(INSUMOS!$K$5:$K$67,MATCH(B263,INSUMOS!$B$5:$B$67,0)),""))</f>
        <v/>
      </c>
      <c r="F263" s="7" t="n"/>
    </row>
    <row r="264">
      <c r="A264" s="12" t="n"/>
      <c r="B264" s="7" t="n"/>
      <c r="C264" s="7" t="n"/>
      <c r="D264" s="7" t="n"/>
      <c r="E264" s="10">
        <f>IF(OR(B264="",C264=""),"",IFERROR(C264*INDEX(INSUMOS!$K$5:$K$67,MATCH(B264,INSUMOS!$B$5:$B$67,0)),""))</f>
        <v/>
      </c>
      <c r="F264" s="7" t="n"/>
    </row>
    <row r="265">
      <c r="A265" s="12" t="n"/>
      <c r="B265" s="7" t="n"/>
      <c r="C265" s="7" t="n"/>
      <c r="D265" s="7" t="n"/>
      <c r="E265" s="10">
        <f>IF(OR(B265="",C265=""),"",IFERROR(C265*INDEX(INSUMOS!$K$5:$K$67,MATCH(B265,INSUMOS!$B$5:$B$67,0)),""))</f>
        <v/>
      </c>
      <c r="F265" s="7" t="n"/>
    </row>
    <row r="266">
      <c r="A266" s="12" t="n"/>
      <c r="B266" s="7" t="n"/>
      <c r="C266" s="7" t="n"/>
      <c r="D266" s="7" t="n"/>
      <c r="E266" s="10">
        <f>IF(OR(B266="",C266=""),"",IFERROR(C266*INDEX(INSUMOS!$K$5:$K$67,MATCH(B266,INSUMOS!$B$5:$B$67,0)),""))</f>
        <v/>
      </c>
      <c r="F266" s="7" t="n"/>
    </row>
    <row r="267">
      <c r="A267" s="12" t="n"/>
      <c r="B267" s="7" t="n"/>
      <c r="C267" s="7" t="n"/>
      <c r="D267" s="7" t="n"/>
      <c r="E267" s="10">
        <f>IF(OR(B267="",C267=""),"",IFERROR(C267*INDEX(INSUMOS!$K$5:$K$67,MATCH(B267,INSUMOS!$B$5:$B$67,0)),""))</f>
        <v/>
      </c>
      <c r="F267" s="7" t="n"/>
    </row>
    <row r="268">
      <c r="A268" s="12" t="n"/>
      <c r="B268" s="7" t="n"/>
      <c r="C268" s="7" t="n"/>
      <c r="D268" s="7" t="n"/>
      <c r="E268" s="10">
        <f>IF(OR(B268="",C268=""),"",IFERROR(C268*INDEX(INSUMOS!$K$5:$K$67,MATCH(B268,INSUMOS!$B$5:$B$67,0)),""))</f>
        <v/>
      </c>
      <c r="F268" s="7" t="n"/>
    </row>
    <row r="269">
      <c r="A269" s="12" t="n"/>
      <c r="B269" s="7" t="n"/>
      <c r="C269" s="7" t="n"/>
      <c r="D269" s="7" t="n"/>
      <c r="E269" s="10">
        <f>IF(OR(B269="",C269=""),"",IFERROR(C269*INDEX(INSUMOS!$K$5:$K$67,MATCH(B269,INSUMOS!$B$5:$B$67,0)),""))</f>
        <v/>
      </c>
      <c r="F269" s="7" t="n"/>
    </row>
    <row r="270">
      <c r="A270" s="12" t="n"/>
      <c r="B270" s="7" t="n"/>
      <c r="C270" s="7" t="n"/>
      <c r="D270" s="7" t="n"/>
      <c r="E270" s="10">
        <f>IF(OR(B270="",C270=""),"",IFERROR(C270*INDEX(INSUMOS!$K$5:$K$67,MATCH(B270,INSUMOS!$B$5:$B$67,0)),""))</f>
        <v/>
      </c>
      <c r="F270" s="7" t="n"/>
    </row>
    <row r="271">
      <c r="A271" s="12" t="n"/>
      <c r="B271" s="7" t="n"/>
      <c r="C271" s="7" t="n"/>
      <c r="D271" s="7" t="n"/>
      <c r="E271" s="10">
        <f>IF(OR(B271="",C271=""),"",IFERROR(C271*INDEX(INSUMOS!$K$5:$K$67,MATCH(B271,INSUMOS!$B$5:$B$67,0)),""))</f>
        <v/>
      </c>
      <c r="F271" s="7" t="n"/>
    </row>
    <row r="272">
      <c r="A272" s="12" t="n"/>
      <c r="B272" s="7" t="n"/>
      <c r="C272" s="7" t="n"/>
      <c r="D272" s="7" t="n"/>
      <c r="E272" s="10">
        <f>IF(OR(B272="",C272=""),"",IFERROR(C272*INDEX(INSUMOS!$K$5:$K$67,MATCH(B272,INSUMOS!$B$5:$B$67,0)),""))</f>
        <v/>
      </c>
      <c r="F272" s="7" t="n"/>
    </row>
    <row r="273">
      <c r="A273" s="12" t="n"/>
      <c r="B273" s="7" t="n"/>
      <c r="C273" s="7" t="n"/>
      <c r="D273" s="7" t="n"/>
      <c r="E273" s="10">
        <f>IF(OR(B273="",C273=""),"",IFERROR(C273*INDEX(INSUMOS!$K$5:$K$67,MATCH(B273,INSUMOS!$B$5:$B$67,0)),""))</f>
        <v/>
      </c>
      <c r="F273" s="7" t="n"/>
    </row>
    <row r="274">
      <c r="A274" s="12" t="n"/>
      <c r="B274" s="7" t="n"/>
      <c r="C274" s="7" t="n"/>
      <c r="D274" s="7" t="n"/>
      <c r="E274" s="10">
        <f>IF(OR(B274="",C274=""),"",IFERROR(C274*INDEX(INSUMOS!$K$5:$K$67,MATCH(B274,INSUMOS!$B$5:$B$67,0)),""))</f>
        <v/>
      </c>
      <c r="F274" s="7" t="n"/>
    </row>
    <row r="275">
      <c r="A275" s="12" t="n"/>
      <c r="B275" s="7" t="n"/>
      <c r="C275" s="7" t="n"/>
      <c r="D275" s="7" t="n"/>
      <c r="E275" s="10">
        <f>IF(OR(B275="",C275=""),"",IFERROR(C275*INDEX(INSUMOS!$K$5:$K$67,MATCH(B275,INSUMOS!$B$5:$B$67,0)),""))</f>
        <v/>
      </c>
      <c r="F275" s="7" t="n"/>
    </row>
    <row r="276">
      <c r="A276" s="12" t="n"/>
      <c r="B276" s="7" t="n"/>
      <c r="C276" s="7" t="n"/>
      <c r="D276" s="7" t="n"/>
      <c r="E276" s="10">
        <f>IF(OR(B276="",C276=""),"",IFERROR(C276*INDEX(INSUMOS!$K$5:$K$67,MATCH(B276,INSUMOS!$B$5:$B$67,0)),""))</f>
        <v/>
      </c>
      <c r="F276" s="7" t="n"/>
    </row>
    <row r="277">
      <c r="A277" s="12" t="n"/>
      <c r="B277" s="7" t="n"/>
      <c r="C277" s="7" t="n"/>
      <c r="D277" s="7" t="n"/>
      <c r="E277" s="10">
        <f>IF(OR(B277="",C277=""),"",IFERROR(C277*INDEX(INSUMOS!$K$5:$K$67,MATCH(B277,INSUMOS!$B$5:$B$67,0)),""))</f>
        <v/>
      </c>
      <c r="F277" s="7" t="n"/>
    </row>
    <row r="278">
      <c r="A278" s="12" t="n"/>
      <c r="B278" s="7" t="n"/>
      <c r="C278" s="7" t="n"/>
      <c r="D278" s="7" t="n"/>
      <c r="E278" s="10">
        <f>IF(OR(B278="",C278=""),"",IFERROR(C278*INDEX(INSUMOS!$K$5:$K$67,MATCH(B278,INSUMOS!$B$5:$B$67,0)),""))</f>
        <v/>
      </c>
      <c r="F278" s="7" t="n"/>
    </row>
    <row r="279">
      <c r="A279" s="12" t="n"/>
      <c r="B279" s="7" t="n"/>
      <c r="C279" s="7" t="n"/>
      <c r="D279" s="7" t="n"/>
      <c r="E279" s="10">
        <f>IF(OR(B279="",C279=""),"",IFERROR(C279*INDEX(INSUMOS!$K$5:$K$67,MATCH(B279,INSUMOS!$B$5:$B$67,0)),""))</f>
        <v/>
      </c>
      <c r="F279" s="7" t="n"/>
    </row>
    <row r="280">
      <c r="A280" s="12" t="n"/>
      <c r="B280" s="7" t="n"/>
      <c r="C280" s="7" t="n"/>
      <c r="D280" s="7" t="n"/>
      <c r="E280" s="10">
        <f>IF(OR(B280="",C280=""),"",IFERROR(C280*INDEX(INSUMOS!$K$5:$K$67,MATCH(B280,INSUMOS!$B$5:$B$67,0)),""))</f>
        <v/>
      </c>
      <c r="F280" s="7" t="n"/>
    </row>
    <row r="281">
      <c r="A281" s="12" t="n"/>
      <c r="B281" s="7" t="n"/>
      <c r="C281" s="7" t="n"/>
      <c r="D281" s="7" t="n"/>
      <c r="E281" s="10">
        <f>IF(OR(B281="",C281=""),"",IFERROR(C281*INDEX(INSUMOS!$K$5:$K$67,MATCH(B281,INSUMOS!$B$5:$B$67,0)),""))</f>
        <v/>
      </c>
      <c r="F281" s="7" t="n"/>
    </row>
    <row r="282">
      <c r="A282" s="12" t="n"/>
      <c r="B282" s="7" t="n"/>
      <c r="C282" s="7" t="n"/>
      <c r="D282" s="7" t="n"/>
      <c r="E282" s="10">
        <f>IF(OR(B282="",C282=""),"",IFERROR(C282*INDEX(INSUMOS!$K$5:$K$67,MATCH(B282,INSUMOS!$B$5:$B$67,0)),""))</f>
        <v/>
      </c>
      <c r="F282" s="7" t="n"/>
    </row>
    <row r="283">
      <c r="A283" s="12" t="n"/>
      <c r="B283" s="7" t="n"/>
      <c r="C283" s="7" t="n"/>
      <c r="D283" s="7" t="n"/>
      <c r="E283" s="10">
        <f>IF(OR(B283="",C283=""),"",IFERROR(C283*INDEX(INSUMOS!$K$5:$K$67,MATCH(B283,INSUMOS!$B$5:$B$67,0)),""))</f>
        <v/>
      </c>
      <c r="F283" s="7" t="n"/>
    </row>
    <row r="284">
      <c r="A284" s="12" t="n"/>
      <c r="B284" s="7" t="n"/>
      <c r="C284" s="7" t="n"/>
      <c r="D284" s="7" t="n"/>
      <c r="E284" s="10">
        <f>IF(OR(B284="",C284=""),"",IFERROR(C284*INDEX(INSUMOS!$K$5:$K$67,MATCH(B284,INSUMOS!$B$5:$B$67,0)),""))</f>
        <v/>
      </c>
      <c r="F284" s="7" t="n"/>
    </row>
    <row r="285">
      <c r="A285" s="12" t="n"/>
      <c r="B285" s="7" t="n"/>
      <c r="C285" s="7" t="n"/>
      <c r="D285" s="7" t="n"/>
      <c r="E285" s="10">
        <f>IF(OR(B285="",C285=""),"",IFERROR(C285*INDEX(INSUMOS!$K$5:$K$67,MATCH(B285,INSUMOS!$B$5:$B$67,0)),""))</f>
        <v/>
      </c>
      <c r="F285" s="7" t="n"/>
    </row>
    <row r="286">
      <c r="A286" s="12" t="n"/>
      <c r="B286" s="7" t="n"/>
      <c r="C286" s="7" t="n"/>
      <c r="D286" s="7" t="n"/>
      <c r="E286" s="10">
        <f>IF(OR(B286="",C286=""),"",IFERROR(C286*INDEX(INSUMOS!$K$5:$K$67,MATCH(B286,INSUMOS!$B$5:$B$67,0)),""))</f>
        <v/>
      </c>
      <c r="F286" s="7" t="n"/>
    </row>
    <row r="287">
      <c r="A287" s="12" t="n"/>
      <c r="B287" s="7" t="n"/>
      <c r="C287" s="7" t="n"/>
      <c r="D287" s="7" t="n"/>
      <c r="E287" s="10">
        <f>IF(OR(B287="",C287=""),"",IFERROR(C287*INDEX(INSUMOS!$K$5:$K$67,MATCH(B287,INSUMOS!$B$5:$B$67,0)),""))</f>
        <v/>
      </c>
      <c r="F287" s="7" t="n"/>
    </row>
    <row r="288">
      <c r="A288" s="12" t="n"/>
      <c r="B288" s="7" t="n"/>
      <c r="C288" s="7" t="n"/>
      <c r="D288" s="7" t="n"/>
      <c r="E288" s="10">
        <f>IF(OR(B288="",C288=""),"",IFERROR(C288*INDEX(INSUMOS!$K$5:$K$67,MATCH(B288,INSUMOS!$B$5:$B$67,0)),""))</f>
        <v/>
      </c>
      <c r="F288" s="7" t="n"/>
    </row>
    <row r="289">
      <c r="A289" s="12" t="n"/>
      <c r="B289" s="7" t="n"/>
      <c r="C289" s="7" t="n"/>
      <c r="D289" s="7" t="n"/>
      <c r="E289" s="10">
        <f>IF(OR(B289="",C289=""),"",IFERROR(C289*INDEX(INSUMOS!$K$5:$K$67,MATCH(B289,INSUMOS!$B$5:$B$67,0)),""))</f>
        <v/>
      </c>
      <c r="F289" s="7" t="n"/>
    </row>
    <row r="290">
      <c r="A290" s="12" t="n"/>
      <c r="B290" s="7" t="n"/>
      <c r="C290" s="7" t="n"/>
      <c r="D290" s="7" t="n"/>
      <c r="E290" s="10">
        <f>IF(OR(B290="",C290=""),"",IFERROR(C290*INDEX(INSUMOS!$K$5:$K$67,MATCH(B290,INSUMOS!$B$5:$B$67,0)),""))</f>
        <v/>
      </c>
      <c r="F290" s="7" t="n"/>
    </row>
    <row r="291">
      <c r="A291" s="12" t="n"/>
      <c r="B291" s="7" t="n"/>
      <c r="C291" s="7" t="n"/>
      <c r="D291" s="7" t="n"/>
      <c r="E291" s="10">
        <f>IF(OR(B291="",C291=""),"",IFERROR(C291*INDEX(INSUMOS!$K$5:$K$67,MATCH(B291,INSUMOS!$B$5:$B$67,0)),""))</f>
        <v/>
      </c>
      <c r="F291" s="7" t="n"/>
    </row>
    <row r="292">
      <c r="A292" s="12" t="n"/>
      <c r="B292" s="7" t="n"/>
      <c r="C292" s="7" t="n"/>
      <c r="D292" s="7" t="n"/>
      <c r="E292" s="10">
        <f>IF(OR(B292="",C292=""),"",IFERROR(C292*INDEX(INSUMOS!$K$5:$K$67,MATCH(B292,INSUMOS!$B$5:$B$67,0)),""))</f>
        <v/>
      </c>
      <c r="F292" s="7" t="n"/>
    </row>
    <row r="293">
      <c r="A293" s="12" t="n"/>
      <c r="B293" s="7" t="n"/>
      <c r="C293" s="7" t="n"/>
      <c r="D293" s="7" t="n"/>
      <c r="E293" s="10">
        <f>IF(OR(B293="",C293=""),"",IFERROR(C293*INDEX(INSUMOS!$K$5:$K$67,MATCH(B293,INSUMOS!$B$5:$B$67,0)),""))</f>
        <v/>
      </c>
      <c r="F293" s="7" t="n"/>
    </row>
    <row r="294">
      <c r="A294" s="12" t="n"/>
      <c r="B294" s="7" t="n"/>
      <c r="C294" s="7" t="n"/>
      <c r="D294" s="7" t="n"/>
      <c r="E294" s="10">
        <f>IF(OR(B294="",C294=""),"",IFERROR(C294*INDEX(INSUMOS!$K$5:$K$67,MATCH(B294,INSUMOS!$B$5:$B$67,0)),""))</f>
        <v/>
      </c>
      <c r="F294" s="7" t="n"/>
    </row>
    <row r="295">
      <c r="A295" s="12" t="n"/>
      <c r="B295" s="7" t="n"/>
      <c r="C295" s="7" t="n"/>
      <c r="D295" s="7" t="n"/>
      <c r="E295" s="10">
        <f>IF(OR(B295="",C295=""),"",IFERROR(C295*INDEX(INSUMOS!$K$5:$K$67,MATCH(B295,INSUMOS!$B$5:$B$67,0)),""))</f>
        <v/>
      </c>
      <c r="F295" s="7" t="n"/>
    </row>
    <row r="296">
      <c r="A296" s="12" t="n"/>
      <c r="B296" s="7" t="n"/>
      <c r="C296" s="7" t="n"/>
      <c r="D296" s="7" t="n"/>
      <c r="E296" s="10">
        <f>IF(OR(B296="",C296=""),"",IFERROR(C296*INDEX(INSUMOS!$K$5:$K$67,MATCH(B296,INSUMOS!$B$5:$B$67,0)),""))</f>
        <v/>
      </c>
      <c r="F296" s="7" t="n"/>
    </row>
    <row r="297">
      <c r="A297" s="12" t="n"/>
      <c r="B297" s="7" t="n"/>
      <c r="C297" s="7" t="n"/>
      <c r="D297" s="7" t="n"/>
      <c r="E297" s="10">
        <f>IF(OR(B297="",C297=""),"",IFERROR(C297*INDEX(INSUMOS!$K$5:$K$67,MATCH(B297,INSUMOS!$B$5:$B$67,0)),""))</f>
        <v/>
      </c>
      <c r="F297" s="7" t="n"/>
    </row>
    <row r="298">
      <c r="A298" s="12" t="n"/>
      <c r="B298" s="7" t="n"/>
      <c r="C298" s="7" t="n"/>
      <c r="D298" s="7" t="n"/>
      <c r="E298" s="10">
        <f>IF(OR(B298="",C298=""),"",IFERROR(C298*INDEX(INSUMOS!$K$5:$K$67,MATCH(B298,INSUMOS!$B$5:$B$67,0)),""))</f>
        <v/>
      </c>
      <c r="F298" s="7" t="n"/>
    </row>
    <row r="299">
      <c r="A299" s="12" t="n"/>
      <c r="B299" s="7" t="n"/>
      <c r="C299" s="7" t="n"/>
      <c r="D299" s="7" t="n"/>
      <c r="E299" s="10">
        <f>IF(OR(B299="",C299=""),"",IFERROR(C299*INDEX(INSUMOS!$K$5:$K$67,MATCH(B299,INSUMOS!$B$5:$B$67,0)),""))</f>
        <v/>
      </c>
      <c r="F299" s="7" t="n"/>
    </row>
    <row r="300">
      <c r="A300" s="12" t="n"/>
      <c r="B300" s="7" t="n"/>
      <c r="C300" s="7" t="n"/>
      <c r="D300" s="7" t="n"/>
      <c r="E300" s="10">
        <f>IF(OR(B300="",C300=""),"",IFERROR(C300*INDEX(INSUMOS!$K$5:$K$67,MATCH(B300,INSUMOS!$B$5:$B$67,0)),""))</f>
        <v/>
      </c>
      <c r="F300" s="7" t="n"/>
    </row>
    <row r="301">
      <c r="A301" s="12" t="n"/>
      <c r="B301" s="7" t="n"/>
      <c r="C301" s="7" t="n"/>
      <c r="D301" s="7" t="n"/>
      <c r="E301" s="10">
        <f>IF(OR(B301="",C301=""),"",IFERROR(C301*INDEX(INSUMOS!$K$5:$K$67,MATCH(B301,INSUMOS!$B$5:$B$67,0)),""))</f>
        <v/>
      </c>
      <c r="F301" s="7" t="n"/>
    </row>
    <row r="302">
      <c r="A302" s="12" t="n"/>
      <c r="B302" s="7" t="n"/>
      <c r="C302" s="7" t="n"/>
      <c r="D302" s="7" t="n"/>
      <c r="E302" s="10">
        <f>IF(OR(B302="",C302=""),"",IFERROR(C302*INDEX(INSUMOS!$K$5:$K$67,MATCH(B302,INSUMOS!$B$5:$B$67,0)),""))</f>
        <v/>
      </c>
      <c r="F302" s="7" t="n"/>
    </row>
    <row r="303">
      <c r="A303" s="12" t="n"/>
      <c r="B303" s="7" t="n"/>
      <c r="C303" s="7" t="n"/>
      <c r="D303" s="7" t="n"/>
      <c r="E303" s="10">
        <f>IF(OR(B303="",C303=""),"",IFERROR(C303*INDEX(INSUMOS!$K$5:$K$67,MATCH(B303,INSUMOS!$B$5:$B$67,0)),""))</f>
        <v/>
      </c>
      <c r="F303" s="7" t="n"/>
    </row>
    <row r="304">
      <c r="A304" s="12" t="n"/>
      <c r="B304" s="7" t="n"/>
      <c r="C304" s="7" t="n"/>
      <c r="D304" s="7" t="n"/>
      <c r="E304" s="10">
        <f>IF(OR(B304="",C304=""),"",IFERROR(C304*INDEX(INSUMOS!$K$5:$K$67,MATCH(B304,INSUMOS!$B$5:$B$67,0)),""))</f>
        <v/>
      </c>
      <c r="F304" s="7" t="n"/>
    </row>
    <row r="305">
      <c r="A305" s="12" t="n"/>
      <c r="B305" s="7" t="n"/>
      <c r="C305" s="7" t="n"/>
      <c r="D305" s="7" t="n"/>
      <c r="E305" s="10">
        <f>IF(OR(B305="",C305=""),"",IFERROR(C305*INDEX(INSUMOS!$K$5:$K$67,MATCH(B305,INSUMOS!$B$5:$B$67,0)),""))</f>
        <v/>
      </c>
      <c r="F305" s="7" t="n"/>
    </row>
    <row r="306">
      <c r="A306" s="12" t="n"/>
      <c r="B306" s="7" t="n"/>
      <c r="C306" s="7" t="n"/>
      <c r="D306" s="7" t="n"/>
      <c r="E306" s="10">
        <f>IF(OR(B306="",C306=""),"",IFERROR(C306*INDEX(INSUMOS!$K$5:$K$67,MATCH(B306,INSUMOS!$B$5:$B$67,0)),""))</f>
        <v/>
      </c>
      <c r="F306" s="7" t="n"/>
    </row>
    <row r="307">
      <c r="A307" s="12" t="n"/>
      <c r="B307" s="7" t="n"/>
      <c r="C307" s="7" t="n"/>
      <c r="D307" s="7" t="n"/>
      <c r="E307" s="10">
        <f>IF(OR(B307="",C307=""),"",IFERROR(C307*INDEX(INSUMOS!$K$5:$K$67,MATCH(B307,INSUMOS!$B$5:$B$67,0)),""))</f>
        <v/>
      </c>
      <c r="F307" s="7" t="n"/>
    </row>
    <row r="308">
      <c r="A308" s="12" t="n"/>
      <c r="B308" s="7" t="n"/>
      <c r="C308" s="7" t="n"/>
      <c r="D308" s="7" t="n"/>
      <c r="E308" s="10">
        <f>IF(OR(B308="",C308=""),"",IFERROR(C308*INDEX(INSUMOS!$K$5:$K$67,MATCH(B308,INSUMOS!$B$5:$B$67,0)),""))</f>
        <v/>
      </c>
      <c r="F308" s="7" t="n"/>
    </row>
    <row r="309">
      <c r="A309" s="12" t="n"/>
      <c r="B309" s="7" t="n"/>
      <c r="C309" s="7" t="n"/>
      <c r="D309" s="7" t="n"/>
      <c r="E309" s="10">
        <f>IF(OR(B309="",C309=""),"",IFERROR(C309*INDEX(INSUMOS!$K$5:$K$67,MATCH(B309,INSUMOS!$B$5:$B$67,0)),""))</f>
        <v/>
      </c>
      <c r="F309" s="7" t="n"/>
    </row>
    <row r="310">
      <c r="A310" s="12" t="n"/>
      <c r="B310" s="7" t="n"/>
      <c r="C310" s="7" t="n"/>
      <c r="D310" s="7" t="n"/>
      <c r="E310" s="10">
        <f>IF(OR(B310="",C310=""),"",IFERROR(C310*INDEX(INSUMOS!$K$5:$K$67,MATCH(B310,INSUMOS!$B$5:$B$67,0)),""))</f>
        <v/>
      </c>
      <c r="F310" s="7" t="n"/>
    </row>
    <row r="311">
      <c r="A311" s="12" t="n"/>
      <c r="B311" s="7" t="n"/>
      <c r="C311" s="7" t="n"/>
      <c r="D311" s="7" t="n"/>
      <c r="E311" s="10">
        <f>IF(OR(B311="",C311=""),"",IFERROR(C311*INDEX(INSUMOS!$K$5:$K$67,MATCH(B311,INSUMOS!$B$5:$B$67,0)),""))</f>
        <v/>
      </c>
      <c r="F311" s="7" t="n"/>
    </row>
    <row r="312">
      <c r="A312" s="12" t="n"/>
      <c r="B312" s="7" t="n"/>
      <c r="C312" s="7" t="n"/>
      <c r="D312" s="7" t="n"/>
      <c r="E312" s="10">
        <f>IF(OR(B312="",C312=""),"",IFERROR(C312*INDEX(INSUMOS!$K$5:$K$67,MATCH(B312,INSUMOS!$B$5:$B$67,0)),""))</f>
        <v/>
      </c>
      <c r="F312" s="7" t="n"/>
    </row>
    <row r="313">
      <c r="A313" s="12" t="n"/>
      <c r="B313" s="7" t="n"/>
      <c r="C313" s="7" t="n"/>
      <c r="D313" s="7" t="n"/>
      <c r="E313" s="10">
        <f>IF(OR(B313="",C313=""),"",IFERROR(C313*INDEX(INSUMOS!$K$5:$K$67,MATCH(B313,INSUMOS!$B$5:$B$67,0)),""))</f>
        <v/>
      </c>
      <c r="F313" s="7" t="n"/>
    </row>
    <row r="314">
      <c r="A314" s="12" t="n"/>
      <c r="B314" s="7" t="n"/>
      <c r="C314" s="7" t="n"/>
      <c r="D314" s="7" t="n"/>
      <c r="E314" s="10">
        <f>IF(OR(B314="",C314=""),"",IFERROR(C314*INDEX(INSUMOS!$K$5:$K$67,MATCH(B314,INSUMOS!$B$5:$B$67,0)),""))</f>
        <v/>
      </c>
      <c r="F314" s="7" t="n"/>
    </row>
    <row r="315">
      <c r="A315" s="12" t="n"/>
      <c r="B315" s="7" t="n"/>
      <c r="C315" s="7" t="n"/>
      <c r="D315" s="7" t="n"/>
      <c r="E315" s="10">
        <f>IF(OR(B315="",C315=""),"",IFERROR(C315*INDEX(INSUMOS!$K$5:$K$67,MATCH(B315,INSUMOS!$B$5:$B$67,0)),""))</f>
        <v/>
      </c>
      <c r="F315" s="7" t="n"/>
    </row>
    <row r="316">
      <c r="A316" s="12" t="n"/>
      <c r="B316" s="7" t="n"/>
      <c r="C316" s="7" t="n"/>
      <c r="D316" s="7" t="n"/>
      <c r="E316" s="10">
        <f>IF(OR(B316="",C316=""),"",IFERROR(C316*INDEX(INSUMOS!$K$5:$K$67,MATCH(B316,INSUMOS!$B$5:$B$67,0)),""))</f>
        <v/>
      </c>
      <c r="F316" s="7" t="n"/>
    </row>
    <row r="317">
      <c r="A317" s="12" t="n"/>
      <c r="B317" s="7" t="n"/>
      <c r="C317" s="7" t="n"/>
      <c r="D317" s="7" t="n"/>
      <c r="E317" s="10">
        <f>IF(OR(B317="",C317=""),"",IFERROR(C317*INDEX(INSUMOS!$K$5:$K$67,MATCH(B317,INSUMOS!$B$5:$B$67,0)),""))</f>
        <v/>
      </c>
      <c r="F317" s="7" t="n"/>
    </row>
    <row r="318">
      <c r="A318" s="12" t="n"/>
      <c r="B318" s="7" t="n"/>
      <c r="C318" s="7" t="n"/>
      <c r="D318" s="7" t="n"/>
      <c r="E318" s="10">
        <f>IF(OR(B318="",C318=""),"",IFERROR(C318*INDEX(INSUMOS!$K$5:$K$67,MATCH(B318,INSUMOS!$B$5:$B$67,0)),""))</f>
        <v/>
      </c>
      <c r="F318" s="7" t="n"/>
    </row>
    <row r="319">
      <c r="A319" s="12" t="n"/>
      <c r="B319" s="7" t="n"/>
      <c r="C319" s="7" t="n"/>
      <c r="D319" s="7" t="n"/>
      <c r="E319" s="10">
        <f>IF(OR(B319="",C319=""),"",IFERROR(C319*INDEX(INSUMOS!$K$5:$K$67,MATCH(B319,INSUMOS!$B$5:$B$67,0)),""))</f>
        <v/>
      </c>
      <c r="F319" s="7" t="n"/>
    </row>
    <row r="320">
      <c r="A320" s="12" t="n"/>
      <c r="B320" s="7" t="n"/>
      <c r="C320" s="7" t="n"/>
      <c r="D320" s="7" t="n"/>
      <c r="E320" s="10">
        <f>IF(OR(B320="",C320=""),"",IFERROR(C320*INDEX(INSUMOS!$K$5:$K$67,MATCH(B320,INSUMOS!$B$5:$B$67,0)),""))</f>
        <v/>
      </c>
      <c r="F320" s="7" t="n"/>
    </row>
    <row r="321">
      <c r="A321" s="12" t="n"/>
      <c r="B321" s="7" t="n"/>
      <c r="C321" s="7" t="n"/>
      <c r="D321" s="7" t="n"/>
      <c r="E321" s="10">
        <f>IF(OR(B321="",C321=""),"",IFERROR(C321*INDEX(INSUMOS!$K$5:$K$67,MATCH(B321,INSUMOS!$B$5:$B$67,0)),""))</f>
        <v/>
      </c>
      <c r="F321" s="7" t="n"/>
    </row>
    <row r="322">
      <c r="A322" s="12" t="n"/>
      <c r="B322" s="7" t="n"/>
      <c r="C322" s="7" t="n"/>
      <c r="D322" s="7" t="n"/>
      <c r="E322" s="10">
        <f>IF(OR(B322="",C322=""),"",IFERROR(C322*INDEX(INSUMOS!$K$5:$K$67,MATCH(B322,INSUMOS!$B$5:$B$67,0)),""))</f>
        <v/>
      </c>
      <c r="F322" s="7" t="n"/>
    </row>
    <row r="323">
      <c r="A323" s="12" t="n"/>
      <c r="B323" s="7" t="n"/>
      <c r="C323" s="7" t="n"/>
      <c r="D323" s="7" t="n"/>
      <c r="E323" s="10">
        <f>IF(OR(B323="",C323=""),"",IFERROR(C323*INDEX(INSUMOS!$K$5:$K$67,MATCH(B323,INSUMOS!$B$5:$B$67,0)),""))</f>
        <v/>
      </c>
      <c r="F323" s="7" t="n"/>
    </row>
    <row r="324">
      <c r="A324" s="12" t="n"/>
      <c r="B324" s="7" t="n"/>
      <c r="C324" s="7" t="n"/>
      <c r="D324" s="7" t="n"/>
      <c r="E324" s="10">
        <f>IF(OR(B324="",C324=""),"",IFERROR(C324*INDEX(INSUMOS!$K$5:$K$67,MATCH(B324,INSUMOS!$B$5:$B$67,0)),""))</f>
        <v/>
      </c>
      <c r="F324" s="7" t="n"/>
    </row>
    <row r="325">
      <c r="A325" s="12" t="n"/>
      <c r="B325" s="7" t="n"/>
      <c r="C325" s="7" t="n"/>
      <c r="D325" s="7" t="n"/>
      <c r="E325" s="10">
        <f>IF(OR(B325="",C325=""),"",IFERROR(C325*INDEX(INSUMOS!$K$5:$K$67,MATCH(B325,INSUMOS!$B$5:$B$67,0)),""))</f>
        <v/>
      </c>
      <c r="F325" s="7" t="n"/>
    </row>
    <row r="326">
      <c r="A326" s="12" t="n"/>
      <c r="B326" s="7" t="n"/>
      <c r="C326" s="7" t="n"/>
      <c r="D326" s="7" t="n"/>
      <c r="E326" s="10">
        <f>IF(OR(B326="",C326=""),"",IFERROR(C326*INDEX(INSUMOS!$K$5:$K$67,MATCH(B326,INSUMOS!$B$5:$B$67,0)),""))</f>
        <v/>
      </c>
      <c r="F326" s="7" t="n"/>
    </row>
    <row r="327">
      <c r="A327" s="12" t="n"/>
      <c r="B327" s="7" t="n"/>
      <c r="C327" s="7" t="n"/>
      <c r="D327" s="7" t="n"/>
      <c r="E327" s="10">
        <f>IF(OR(B327="",C327=""),"",IFERROR(C327*INDEX(INSUMOS!$K$5:$K$67,MATCH(B327,INSUMOS!$B$5:$B$67,0)),""))</f>
        <v/>
      </c>
      <c r="F327" s="7" t="n"/>
    </row>
    <row r="328">
      <c r="A328" s="12" t="n"/>
      <c r="B328" s="7" t="n"/>
      <c r="C328" s="7" t="n"/>
      <c r="D328" s="7" t="n"/>
      <c r="E328" s="10">
        <f>IF(OR(B328="",C328=""),"",IFERROR(C328*INDEX(INSUMOS!$K$5:$K$67,MATCH(B328,INSUMOS!$B$5:$B$67,0)),""))</f>
        <v/>
      </c>
      <c r="F328" s="7" t="n"/>
    </row>
    <row r="329">
      <c r="A329" s="12" t="n"/>
      <c r="B329" s="7" t="n"/>
      <c r="C329" s="7" t="n"/>
      <c r="D329" s="7" t="n"/>
      <c r="E329" s="10">
        <f>IF(OR(B329="",C329=""),"",IFERROR(C329*INDEX(INSUMOS!$K$5:$K$67,MATCH(B329,INSUMOS!$B$5:$B$67,0)),""))</f>
        <v/>
      </c>
      <c r="F329" s="7" t="n"/>
    </row>
    <row r="330">
      <c r="A330" s="12" t="n"/>
      <c r="B330" s="7" t="n"/>
      <c r="C330" s="7" t="n"/>
      <c r="D330" s="7" t="n"/>
      <c r="E330" s="10">
        <f>IF(OR(B330="",C330=""),"",IFERROR(C330*INDEX(INSUMOS!$K$5:$K$67,MATCH(B330,INSUMOS!$B$5:$B$67,0)),""))</f>
        <v/>
      </c>
      <c r="F330" s="7" t="n"/>
    </row>
    <row r="331">
      <c r="A331" s="12" t="n"/>
      <c r="B331" s="7" t="n"/>
      <c r="C331" s="7" t="n"/>
      <c r="D331" s="7" t="n"/>
      <c r="E331" s="10">
        <f>IF(OR(B331="",C331=""),"",IFERROR(C331*INDEX(INSUMOS!$K$5:$K$67,MATCH(B331,INSUMOS!$B$5:$B$67,0)),""))</f>
        <v/>
      </c>
      <c r="F331" s="7" t="n"/>
    </row>
    <row r="332">
      <c r="A332" s="12" t="n"/>
      <c r="B332" s="7" t="n"/>
      <c r="C332" s="7" t="n"/>
      <c r="D332" s="7" t="n"/>
      <c r="E332" s="10">
        <f>IF(OR(B332="",C332=""),"",IFERROR(C332*INDEX(INSUMOS!$K$5:$K$67,MATCH(B332,INSUMOS!$B$5:$B$67,0)),""))</f>
        <v/>
      </c>
      <c r="F332" s="7" t="n"/>
    </row>
    <row r="333">
      <c r="A333" s="12" t="n"/>
      <c r="B333" s="7" t="n"/>
      <c r="C333" s="7" t="n"/>
      <c r="D333" s="7" t="n"/>
      <c r="E333" s="10">
        <f>IF(OR(B333="",C333=""),"",IFERROR(C333*INDEX(INSUMOS!$K$5:$K$67,MATCH(B333,INSUMOS!$B$5:$B$67,0)),""))</f>
        <v/>
      </c>
      <c r="F333" s="7" t="n"/>
    </row>
    <row r="334">
      <c r="A334" s="12" t="n"/>
      <c r="B334" s="7" t="n"/>
      <c r="C334" s="7" t="n"/>
      <c r="D334" s="7" t="n"/>
      <c r="E334" s="10">
        <f>IF(OR(B334="",C334=""),"",IFERROR(C334*INDEX(INSUMOS!$K$5:$K$67,MATCH(B334,INSUMOS!$B$5:$B$67,0)),""))</f>
        <v/>
      </c>
      <c r="F334" s="7" t="n"/>
    </row>
    <row r="335">
      <c r="A335" s="12" t="n"/>
      <c r="B335" s="7" t="n"/>
      <c r="C335" s="7" t="n"/>
      <c r="D335" s="7" t="n"/>
      <c r="E335" s="10">
        <f>IF(OR(B335="",C335=""),"",IFERROR(C335*INDEX(INSUMOS!$K$5:$K$67,MATCH(B335,INSUMOS!$B$5:$B$67,0)),""))</f>
        <v/>
      </c>
      <c r="F335" s="7" t="n"/>
    </row>
    <row r="336">
      <c r="A336" s="12" t="n"/>
      <c r="B336" s="7" t="n"/>
      <c r="C336" s="7" t="n"/>
      <c r="D336" s="7" t="n"/>
      <c r="E336" s="10">
        <f>IF(OR(B336="",C336=""),"",IFERROR(C336*INDEX(INSUMOS!$K$5:$K$67,MATCH(B336,INSUMOS!$B$5:$B$67,0)),""))</f>
        <v/>
      </c>
      <c r="F336" s="7" t="n"/>
    </row>
    <row r="337">
      <c r="A337" s="12" t="n"/>
      <c r="B337" s="7" t="n"/>
      <c r="C337" s="7" t="n"/>
      <c r="D337" s="7" t="n"/>
      <c r="E337" s="10">
        <f>IF(OR(B337="",C337=""),"",IFERROR(C337*INDEX(INSUMOS!$K$5:$K$67,MATCH(B337,INSUMOS!$B$5:$B$67,0)),""))</f>
        <v/>
      </c>
      <c r="F337" s="7" t="n"/>
    </row>
    <row r="338">
      <c r="A338" s="12" t="n"/>
      <c r="B338" s="7" t="n"/>
      <c r="C338" s="7" t="n"/>
      <c r="D338" s="7" t="n"/>
      <c r="E338" s="10">
        <f>IF(OR(B338="",C338=""),"",IFERROR(C338*INDEX(INSUMOS!$K$5:$K$67,MATCH(B338,INSUMOS!$B$5:$B$67,0)),""))</f>
        <v/>
      </c>
      <c r="F338" s="7" t="n"/>
    </row>
    <row r="339">
      <c r="A339" s="12" t="n"/>
      <c r="B339" s="7" t="n"/>
      <c r="C339" s="7" t="n"/>
      <c r="D339" s="7" t="n"/>
      <c r="E339" s="10">
        <f>IF(OR(B339="",C339=""),"",IFERROR(C339*INDEX(INSUMOS!$K$5:$K$67,MATCH(B339,INSUMOS!$B$5:$B$67,0)),""))</f>
        <v/>
      </c>
      <c r="F339" s="7" t="n"/>
    </row>
    <row r="340">
      <c r="A340" s="12" t="n"/>
      <c r="B340" s="7" t="n"/>
      <c r="C340" s="7" t="n"/>
      <c r="D340" s="7" t="n"/>
      <c r="E340" s="10">
        <f>IF(OR(B340="",C340=""),"",IFERROR(C340*INDEX(INSUMOS!$K$5:$K$67,MATCH(B340,INSUMOS!$B$5:$B$67,0)),""))</f>
        <v/>
      </c>
      <c r="F340" s="7" t="n"/>
    </row>
    <row r="341">
      <c r="A341" s="12" t="n"/>
      <c r="B341" s="7" t="n"/>
      <c r="C341" s="7" t="n"/>
      <c r="D341" s="7" t="n"/>
      <c r="E341" s="10">
        <f>IF(OR(B341="",C341=""),"",IFERROR(C341*INDEX(INSUMOS!$K$5:$K$67,MATCH(B341,INSUMOS!$B$5:$B$67,0)),""))</f>
        <v/>
      </c>
      <c r="F341" s="7" t="n"/>
    </row>
    <row r="342">
      <c r="A342" s="12" t="n"/>
      <c r="B342" s="7" t="n"/>
      <c r="C342" s="7" t="n"/>
      <c r="D342" s="7" t="n"/>
      <c r="E342" s="10">
        <f>IF(OR(B342="",C342=""),"",IFERROR(C342*INDEX(INSUMOS!$K$5:$K$67,MATCH(B342,INSUMOS!$B$5:$B$67,0)),""))</f>
        <v/>
      </c>
      <c r="F342" s="7" t="n"/>
    </row>
    <row r="343">
      <c r="A343" s="12" t="n"/>
      <c r="B343" s="7" t="n"/>
      <c r="C343" s="7" t="n"/>
      <c r="D343" s="7" t="n"/>
      <c r="E343" s="10">
        <f>IF(OR(B343="",C343=""),"",IFERROR(C343*INDEX(INSUMOS!$K$5:$K$67,MATCH(B343,INSUMOS!$B$5:$B$67,0)),""))</f>
        <v/>
      </c>
      <c r="F343" s="7" t="n"/>
    </row>
    <row r="344">
      <c r="A344" s="12" t="n"/>
      <c r="B344" s="7" t="n"/>
      <c r="C344" s="7" t="n"/>
      <c r="D344" s="7" t="n"/>
      <c r="E344" s="10">
        <f>IF(OR(B344="",C344=""),"",IFERROR(C344*INDEX(INSUMOS!$K$5:$K$67,MATCH(B344,INSUMOS!$B$5:$B$67,0)),""))</f>
        <v/>
      </c>
      <c r="F344" s="7" t="n"/>
    </row>
    <row r="345">
      <c r="A345" s="12" t="n"/>
      <c r="B345" s="7" t="n"/>
      <c r="C345" s="7" t="n"/>
      <c r="D345" s="7" t="n"/>
      <c r="E345" s="10">
        <f>IF(OR(B345="",C345=""),"",IFERROR(C345*INDEX(INSUMOS!$K$5:$K$67,MATCH(B345,INSUMOS!$B$5:$B$67,0)),""))</f>
        <v/>
      </c>
      <c r="F345" s="7" t="n"/>
    </row>
    <row r="346">
      <c r="A346" s="12" t="n"/>
      <c r="B346" s="7" t="n"/>
      <c r="C346" s="7" t="n"/>
      <c r="D346" s="7" t="n"/>
      <c r="E346" s="10">
        <f>IF(OR(B346="",C346=""),"",IFERROR(C346*INDEX(INSUMOS!$K$5:$K$67,MATCH(B346,INSUMOS!$B$5:$B$67,0)),""))</f>
        <v/>
      </c>
      <c r="F346" s="7" t="n"/>
    </row>
    <row r="347">
      <c r="A347" s="12" t="n"/>
      <c r="B347" s="7" t="n"/>
      <c r="C347" s="7" t="n"/>
      <c r="D347" s="7" t="n"/>
      <c r="E347" s="10">
        <f>IF(OR(B347="",C347=""),"",IFERROR(C347*INDEX(INSUMOS!$K$5:$K$67,MATCH(B347,INSUMOS!$B$5:$B$67,0)),""))</f>
        <v/>
      </c>
      <c r="F347" s="7" t="n"/>
    </row>
    <row r="348">
      <c r="A348" s="12" t="n"/>
      <c r="B348" s="7" t="n"/>
      <c r="C348" s="7" t="n"/>
      <c r="D348" s="7" t="n"/>
      <c r="E348" s="10">
        <f>IF(OR(B348="",C348=""),"",IFERROR(C348*INDEX(INSUMOS!$K$5:$K$67,MATCH(B348,INSUMOS!$B$5:$B$67,0)),""))</f>
        <v/>
      </c>
      <c r="F348" s="7" t="n"/>
    </row>
    <row r="349">
      <c r="A349" s="12" t="n"/>
      <c r="B349" s="7" t="n"/>
      <c r="C349" s="7" t="n"/>
      <c r="D349" s="7" t="n"/>
      <c r="E349" s="10">
        <f>IF(OR(B349="",C349=""),"",IFERROR(C349*INDEX(INSUMOS!$K$5:$K$67,MATCH(B349,INSUMOS!$B$5:$B$67,0)),""))</f>
        <v/>
      </c>
      <c r="F349" s="7" t="n"/>
    </row>
    <row r="350">
      <c r="A350" s="12" t="n"/>
      <c r="B350" s="7" t="n"/>
      <c r="C350" s="7" t="n"/>
      <c r="D350" s="7" t="n"/>
      <c r="E350" s="10">
        <f>IF(OR(B350="",C350=""),"",IFERROR(C350*INDEX(INSUMOS!$K$5:$K$67,MATCH(B350,INSUMOS!$B$5:$B$67,0)),""))</f>
        <v/>
      </c>
      <c r="F350" s="7" t="n"/>
    </row>
    <row r="351">
      <c r="A351" s="12" t="n"/>
      <c r="B351" s="7" t="n"/>
      <c r="C351" s="7" t="n"/>
      <c r="D351" s="7" t="n"/>
      <c r="E351" s="10">
        <f>IF(OR(B351="",C351=""),"",IFERROR(C351*INDEX(INSUMOS!$K$5:$K$67,MATCH(B351,INSUMOS!$B$5:$B$67,0)),""))</f>
        <v/>
      </c>
      <c r="F351" s="7" t="n"/>
    </row>
    <row r="352">
      <c r="A352" s="12" t="n"/>
      <c r="B352" s="7" t="n"/>
      <c r="C352" s="7" t="n"/>
      <c r="D352" s="7" t="n"/>
      <c r="E352" s="10">
        <f>IF(OR(B352="",C352=""),"",IFERROR(C352*INDEX(INSUMOS!$K$5:$K$67,MATCH(B352,INSUMOS!$B$5:$B$67,0)),""))</f>
        <v/>
      </c>
      <c r="F352" s="7" t="n"/>
    </row>
    <row r="353">
      <c r="A353" s="12" t="n"/>
      <c r="B353" s="7" t="n"/>
      <c r="C353" s="7" t="n"/>
      <c r="D353" s="7" t="n"/>
      <c r="E353" s="10">
        <f>IF(OR(B353="",C353=""),"",IFERROR(C353*INDEX(INSUMOS!$K$5:$K$67,MATCH(B353,INSUMOS!$B$5:$B$67,0)),""))</f>
        <v/>
      </c>
      <c r="F353" s="7" t="n"/>
    </row>
    <row r="354">
      <c r="A354" s="12" t="n"/>
      <c r="B354" s="7" t="n"/>
      <c r="C354" s="7" t="n"/>
      <c r="D354" s="7" t="n"/>
      <c r="E354" s="10">
        <f>IF(OR(B354="",C354=""),"",IFERROR(C354*INDEX(INSUMOS!$K$5:$K$67,MATCH(B354,INSUMOS!$B$5:$B$67,0)),""))</f>
        <v/>
      </c>
      <c r="F354" s="7" t="n"/>
    </row>
    <row r="355">
      <c r="A355" s="12" t="n"/>
      <c r="B355" s="7" t="n"/>
      <c r="C355" s="7" t="n"/>
      <c r="D355" s="7" t="n"/>
      <c r="E355" s="10">
        <f>IF(OR(B355="",C355=""),"",IFERROR(C355*INDEX(INSUMOS!$K$5:$K$67,MATCH(B355,INSUMOS!$B$5:$B$67,0)),""))</f>
        <v/>
      </c>
      <c r="F355" s="7" t="n"/>
    </row>
    <row r="356">
      <c r="A356" s="12" t="n"/>
      <c r="B356" s="7" t="n"/>
      <c r="C356" s="7" t="n"/>
      <c r="D356" s="7" t="n"/>
      <c r="E356" s="10">
        <f>IF(OR(B356="",C356=""),"",IFERROR(C356*INDEX(INSUMOS!$K$5:$K$67,MATCH(B356,INSUMOS!$B$5:$B$67,0)),""))</f>
        <v/>
      </c>
      <c r="F356" s="7" t="n"/>
    </row>
    <row r="357">
      <c r="A357" s="12" t="n"/>
      <c r="B357" s="7" t="n"/>
      <c r="C357" s="7" t="n"/>
      <c r="D357" s="7" t="n"/>
      <c r="E357" s="10">
        <f>IF(OR(B357="",C357=""),"",IFERROR(C357*INDEX(INSUMOS!$K$5:$K$67,MATCH(B357,INSUMOS!$B$5:$B$67,0)),""))</f>
        <v/>
      </c>
      <c r="F357" s="7" t="n"/>
    </row>
    <row r="358">
      <c r="A358" s="12" t="n"/>
      <c r="B358" s="7" t="n"/>
      <c r="C358" s="7" t="n"/>
      <c r="D358" s="7" t="n"/>
      <c r="E358" s="10">
        <f>IF(OR(B358="",C358=""),"",IFERROR(C358*INDEX(INSUMOS!$K$5:$K$67,MATCH(B358,INSUMOS!$B$5:$B$67,0)),""))</f>
        <v/>
      </c>
      <c r="F358" s="7" t="n"/>
    </row>
    <row r="359">
      <c r="A359" s="12" t="n"/>
      <c r="B359" s="7" t="n"/>
      <c r="C359" s="7" t="n"/>
      <c r="D359" s="7" t="n"/>
      <c r="E359" s="10">
        <f>IF(OR(B359="",C359=""),"",IFERROR(C359*INDEX(INSUMOS!$K$5:$K$67,MATCH(B359,INSUMOS!$B$5:$B$67,0)),""))</f>
        <v/>
      </c>
      <c r="F359" s="7" t="n"/>
    </row>
    <row r="360">
      <c r="A360" s="12" t="n"/>
      <c r="B360" s="7" t="n"/>
      <c r="C360" s="7" t="n"/>
      <c r="D360" s="7" t="n"/>
      <c r="E360" s="10">
        <f>IF(OR(B360="",C360=""),"",IFERROR(C360*INDEX(INSUMOS!$K$5:$K$67,MATCH(B360,INSUMOS!$B$5:$B$67,0)),""))</f>
        <v/>
      </c>
      <c r="F360" s="7" t="n"/>
    </row>
    <row r="361">
      <c r="A361" s="12" t="n"/>
      <c r="B361" s="7" t="n"/>
      <c r="C361" s="7" t="n"/>
      <c r="D361" s="7" t="n"/>
      <c r="E361" s="10">
        <f>IF(OR(B361="",C361=""),"",IFERROR(C361*INDEX(INSUMOS!$K$5:$K$67,MATCH(B361,INSUMOS!$B$5:$B$67,0)),""))</f>
        <v/>
      </c>
      <c r="F361" s="7" t="n"/>
    </row>
    <row r="362">
      <c r="A362" s="12" t="n"/>
      <c r="B362" s="7" t="n"/>
      <c r="C362" s="7" t="n"/>
      <c r="D362" s="7" t="n"/>
      <c r="E362" s="10">
        <f>IF(OR(B362="",C362=""),"",IFERROR(C362*INDEX(INSUMOS!$K$5:$K$67,MATCH(B362,INSUMOS!$B$5:$B$67,0)),""))</f>
        <v/>
      </c>
      <c r="F362" s="7" t="n"/>
    </row>
    <row r="363">
      <c r="A363" s="12" t="n"/>
      <c r="B363" s="7" t="n"/>
      <c r="C363" s="7" t="n"/>
      <c r="D363" s="7" t="n"/>
      <c r="E363" s="10">
        <f>IF(OR(B363="",C363=""),"",IFERROR(C363*INDEX(INSUMOS!$K$5:$K$67,MATCH(B363,INSUMOS!$B$5:$B$67,0)),""))</f>
        <v/>
      </c>
      <c r="F363" s="7" t="n"/>
    </row>
    <row r="364">
      <c r="A364" s="12" t="n"/>
      <c r="B364" s="7" t="n"/>
      <c r="C364" s="7" t="n"/>
      <c r="D364" s="7" t="n"/>
      <c r="E364" s="10">
        <f>IF(OR(B364="",C364=""),"",IFERROR(C364*INDEX(INSUMOS!$K$5:$K$67,MATCH(B364,INSUMOS!$B$5:$B$67,0)),""))</f>
        <v/>
      </c>
      <c r="F364" s="7" t="n"/>
    </row>
    <row r="365">
      <c r="A365" s="12" t="n"/>
      <c r="B365" s="7" t="n"/>
      <c r="C365" s="7" t="n"/>
      <c r="D365" s="7" t="n"/>
      <c r="E365" s="10">
        <f>IF(OR(B365="",C365=""),"",IFERROR(C365*INDEX(INSUMOS!$K$5:$K$67,MATCH(B365,INSUMOS!$B$5:$B$67,0)),""))</f>
        <v/>
      </c>
      <c r="F365" s="7" t="n"/>
    </row>
    <row r="366">
      <c r="A366" s="12" t="n"/>
      <c r="B366" s="7" t="n"/>
      <c r="C366" s="7" t="n"/>
      <c r="D366" s="7" t="n"/>
      <c r="E366" s="10">
        <f>IF(OR(B366="",C366=""),"",IFERROR(C366*INDEX(INSUMOS!$K$5:$K$67,MATCH(B366,INSUMOS!$B$5:$B$67,0)),""))</f>
        <v/>
      </c>
      <c r="F366" s="7" t="n"/>
    </row>
    <row r="367">
      <c r="A367" s="12" t="n"/>
      <c r="B367" s="7" t="n"/>
      <c r="C367" s="7" t="n"/>
      <c r="D367" s="7" t="n"/>
      <c r="E367" s="10">
        <f>IF(OR(B367="",C367=""),"",IFERROR(C367*INDEX(INSUMOS!$K$5:$K$67,MATCH(B367,INSUMOS!$B$5:$B$67,0)),""))</f>
        <v/>
      </c>
      <c r="F367" s="7" t="n"/>
    </row>
    <row r="368">
      <c r="A368" s="12" t="n"/>
      <c r="B368" s="7" t="n"/>
      <c r="C368" s="7" t="n"/>
      <c r="D368" s="7" t="n"/>
      <c r="E368" s="10">
        <f>IF(OR(B368="",C368=""),"",IFERROR(C368*INDEX(INSUMOS!$K$5:$K$67,MATCH(B368,INSUMOS!$B$5:$B$67,0)),""))</f>
        <v/>
      </c>
      <c r="F368" s="7" t="n"/>
    </row>
    <row r="369">
      <c r="A369" s="12" t="n"/>
      <c r="B369" s="7" t="n"/>
      <c r="C369" s="7" t="n"/>
      <c r="D369" s="7" t="n"/>
      <c r="E369" s="10">
        <f>IF(OR(B369="",C369=""),"",IFERROR(C369*INDEX(INSUMOS!$K$5:$K$67,MATCH(B369,INSUMOS!$B$5:$B$67,0)),""))</f>
        <v/>
      </c>
      <c r="F369" s="7" t="n"/>
    </row>
    <row r="370">
      <c r="A370" s="12" t="n"/>
      <c r="B370" s="7" t="n"/>
      <c r="C370" s="7" t="n"/>
      <c r="D370" s="7" t="n"/>
      <c r="E370" s="10">
        <f>IF(OR(B370="",C370=""),"",IFERROR(C370*INDEX(INSUMOS!$K$5:$K$67,MATCH(B370,INSUMOS!$B$5:$B$67,0)),""))</f>
        <v/>
      </c>
      <c r="F370" s="7" t="n"/>
    </row>
    <row r="371">
      <c r="A371" s="12" t="n"/>
      <c r="B371" s="7" t="n"/>
      <c r="C371" s="7" t="n"/>
      <c r="D371" s="7" t="n"/>
      <c r="E371" s="10">
        <f>IF(OR(B371="",C371=""),"",IFERROR(C371*INDEX(INSUMOS!$K$5:$K$67,MATCH(B371,INSUMOS!$B$5:$B$67,0)),""))</f>
        <v/>
      </c>
      <c r="F371" s="7" t="n"/>
    </row>
    <row r="372">
      <c r="A372" s="12" t="n"/>
      <c r="B372" s="7" t="n"/>
      <c r="C372" s="7" t="n"/>
      <c r="D372" s="7" t="n"/>
      <c r="E372" s="10">
        <f>IF(OR(B372="",C372=""),"",IFERROR(C372*INDEX(INSUMOS!$K$5:$K$67,MATCH(B372,INSUMOS!$B$5:$B$67,0)),""))</f>
        <v/>
      </c>
      <c r="F372" s="7" t="n"/>
    </row>
    <row r="373">
      <c r="A373" s="12" t="n"/>
      <c r="B373" s="7" t="n"/>
      <c r="C373" s="7" t="n"/>
      <c r="D373" s="7" t="n"/>
      <c r="E373" s="10">
        <f>IF(OR(B373="",C373=""),"",IFERROR(C373*INDEX(INSUMOS!$K$5:$K$67,MATCH(B373,INSUMOS!$B$5:$B$67,0)),""))</f>
        <v/>
      </c>
      <c r="F373" s="7" t="n"/>
    </row>
    <row r="374">
      <c r="A374" s="12" t="n"/>
      <c r="B374" s="7" t="n"/>
      <c r="C374" s="7" t="n"/>
      <c r="D374" s="7" t="n"/>
      <c r="E374" s="10">
        <f>IF(OR(B374="",C374=""),"",IFERROR(C374*INDEX(INSUMOS!$K$5:$K$67,MATCH(B374,INSUMOS!$B$5:$B$67,0)),""))</f>
        <v/>
      </c>
      <c r="F374" s="7" t="n"/>
    </row>
    <row r="375">
      <c r="A375" s="12" t="n"/>
      <c r="B375" s="7" t="n"/>
      <c r="C375" s="7" t="n"/>
      <c r="D375" s="7" t="n"/>
      <c r="E375" s="10">
        <f>IF(OR(B375="",C375=""),"",IFERROR(C375*INDEX(INSUMOS!$K$5:$K$67,MATCH(B375,INSUMOS!$B$5:$B$67,0)),""))</f>
        <v/>
      </c>
      <c r="F375" s="7" t="n"/>
    </row>
    <row r="376">
      <c r="A376" s="12" t="n"/>
      <c r="B376" s="7" t="n"/>
      <c r="C376" s="7" t="n"/>
      <c r="D376" s="7" t="n"/>
      <c r="E376" s="10">
        <f>IF(OR(B376="",C376=""),"",IFERROR(C376*INDEX(INSUMOS!$K$5:$K$67,MATCH(B376,INSUMOS!$B$5:$B$67,0)),""))</f>
        <v/>
      </c>
      <c r="F376" s="7" t="n"/>
    </row>
    <row r="377">
      <c r="A377" s="12" t="n"/>
      <c r="B377" s="7" t="n"/>
      <c r="C377" s="7" t="n"/>
      <c r="D377" s="7" t="n"/>
      <c r="E377" s="10">
        <f>IF(OR(B377="",C377=""),"",IFERROR(C377*INDEX(INSUMOS!$K$5:$K$67,MATCH(B377,INSUMOS!$B$5:$B$67,0)),""))</f>
        <v/>
      </c>
      <c r="F377" s="7" t="n"/>
    </row>
    <row r="378">
      <c r="A378" s="12" t="n"/>
      <c r="B378" s="7" t="n"/>
      <c r="C378" s="7" t="n"/>
      <c r="D378" s="7" t="n"/>
      <c r="E378" s="10">
        <f>IF(OR(B378="",C378=""),"",IFERROR(C378*INDEX(INSUMOS!$K$5:$K$67,MATCH(B378,INSUMOS!$B$5:$B$67,0)),""))</f>
        <v/>
      </c>
      <c r="F378" s="7" t="n"/>
    </row>
    <row r="379">
      <c r="A379" s="12" t="n"/>
      <c r="B379" s="7" t="n"/>
      <c r="C379" s="7" t="n"/>
      <c r="D379" s="7" t="n"/>
      <c r="E379" s="10">
        <f>IF(OR(B379="",C379=""),"",IFERROR(C379*INDEX(INSUMOS!$K$5:$K$67,MATCH(B379,INSUMOS!$B$5:$B$67,0)),""))</f>
        <v/>
      </c>
      <c r="F379" s="7" t="n"/>
    </row>
    <row r="380">
      <c r="A380" s="12" t="n"/>
      <c r="B380" s="7" t="n"/>
      <c r="C380" s="7" t="n"/>
      <c r="D380" s="7" t="n"/>
      <c r="E380" s="10">
        <f>IF(OR(B380="",C380=""),"",IFERROR(C380*INDEX(INSUMOS!$K$5:$K$67,MATCH(B380,INSUMOS!$B$5:$B$67,0)),""))</f>
        <v/>
      </c>
      <c r="F380" s="7" t="n"/>
    </row>
    <row r="381">
      <c r="A381" s="12" t="n"/>
      <c r="B381" s="7" t="n"/>
      <c r="C381" s="7" t="n"/>
      <c r="D381" s="7" t="n"/>
      <c r="E381" s="10">
        <f>IF(OR(B381="",C381=""),"",IFERROR(C381*INDEX(INSUMOS!$K$5:$K$67,MATCH(B381,INSUMOS!$B$5:$B$67,0)),""))</f>
        <v/>
      </c>
      <c r="F381" s="7" t="n"/>
    </row>
    <row r="382">
      <c r="A382" s="12" t="n"/>
      <c r="B382" s="7" t="n"/>
      <c r="C382" s="7" t="n"/>
      <c r="D382" s="7" t="n"/>
      <c r="E382" s="10">
        <f>IF(OR(B382="",C382=""),"",IFERROR(C382*INDEX(INSUMOS!$K$5:$K$67,MATCH(B382,INSUMOS!$B$5:$B$67,0)),""))</f>
        <v/>
      </c>
      <c r="F382" s="7" t="n"/>
    </row>
    <row r="383">
      <c r="A383" s="12" t="n"/>
      <c r="B383" s="7" t="n"/>
      <c r="C383" s="7" t="n"/>
      <c r="D383" s="7" t="n"/>
      <c r="E383" s="10">
        <f>IF(OR(B383="",C383=""),"",IFERROR(C383*INDEX(INSUMOS!$K$5:$K$67,MATCH(B383,INSUMOS!$B$5:$B$67,0)),""))</f>
        <v/>
      </c>
      <c r="F383" s="7" t="n"/>
    </row>
    <row r="384">
      <c r="A384" s="12" t="n"/>
      <c r="B384" s="7" t="n"/>
      <c r="C384" s="7" t="n"/>
      <c r="D384" s="7" t="n"/>
      <c r="E384" s="10">
        <f>IF(OR(B384="",C384=""),"",IFERROR(C384*INDEX(INSUMOS!$K$5:$K$67,MATCH(B384,INSUMOS!$B$5:$B$67,0)),""))</f>
        <v/>
      </c>
      <c r="F384" s="7" t="n"/>
    </row>
    <row r="385">
      <c r="A385" s="12" t="n"/>
      <c r="B385" s="7" t="n"/>
      <c r="C385" s="7" t="n"/>
      <c r="D385" s="7" t="n"/>
      <c r="E385" s="10">
        <f>IF(OR(B385="",C385=""),"",IFERROR(C385*INDEX(INSUMOS!$K$5:$K$67,MATCH(B385,INSUMOS!$B$5:$B$67,0)),""))</f>
        <v/>
      </c>
      <c r="F385" s="7" t="n"/>
    </row>
    <row r="386">
      <c r="A386" s="12" t="n"/>
      <c r="B386" s="7" t="n"/>
      <c r="C386" s="7" t="n"/>
      <c r="D386" s="7" t="n"/>
      <c r="E386" s="10">
        <f>IF(OR(B386="",C386=""),"",IFERROR(C386*INDEX(INSUMOS!$K$5:$K$67,MATCH(B386,INSUMOS!$B$5:$B$67,0)),""))</f>
        <v/>
      </c>
      <c r="F386" s="7" t="n"/>
    </row>
    <row r="387">
      <c r="A387" s="12" t="n"/>
      <c r="B387" s="7" t="n"/>
      <c r="C387" s="7" t="n"/>
      <c r="D387" s="7" t="n"/>
      <c r="E387" s="10">
        <f>IF(OR(B387="",C387=""),"",IFERROR(C387*INDEX(INSUMOS!$K$5:$K$67,MATCH(B387,INSUMOS!$B$5:$B$67,0)),""))</f>
        <v/>
      </c>
      <c r="F387" s="7" t="n"/>
    </row>
    <row r="388">
      <c r="A388" s="12" t="n"/>
      <c r="B388" s="7" t="n"/>
      <c r="C388" s="7" t="n"/>
      <c r="D388" s="7" t="n"/>
      <c r="E388" s="10">
        <f>IF(OR(B388="",C388=""),"",IFERROR(C388*INDEX(INSUMOS!$K$5:$K$67,MATCH(B388,INSUMOS!$B$5:$B$67,0)),""))</f>
        <v/>
      </c>
      <c r="F388" s="7" t="n"/>
    </row>
    <row r="389">
      <c r="A389" s="12" t="n"/>
      <c r="B389" s="7" t="n"/>
      <c r="C389" s="7" t="n"/>
      <c r="D389" s="7" t="n"/>
      <c r="E389" s="10">
        <f>IF(OR(B389="",C389=""),"",IFERROR(C389*INDEX(INSUMOS!$K$5:$K$67,MATCH(B389,INSUMOS!$B$5:$B$67,0)),""))</f>
        <v/>
      </c>
      <c r="F389" s="7" t="n"/>
    </row>
    <row r="390">
      <c r="A390" s="12" t="n"/>
      <c r="B390" s="7" t="n"/>
      <c r="C390" s="7" t="n"/>
      <c r="D390" s="7" t="n"/>
      <c r="E390" s="10">
        <f>IF(OR(B390="",C390=""),"",IFERROR(C390*INDEX(INSUMOS!$K$5:$K$67,MATCH(B390,INSUMOS!$B$5:$B$67,0)),""))</f>
        <v/>
      </c>
      <c r="F390" s="7" t="n"/>
    </row>
    <row r="391">
      <c r="A391" s="12" t="n"/>
      <c r="B391" s="7" t="n"/>
      <c r="C391" s="7" t="n"/>
      <c r="D391" s="7" t="n"/>
      <c r="E391" s="10">
        <f>IF(OR(B391="",C391=""),"",IFERROR(C391*INDEX(INSUMOS!$K$5:$K$67,MATCH(B391,INSUMOS!$B$5:$B$67,0)),""))</f>
        <v/>
      </c>
      <c r="F391" s="7" t="n"/>
    </row>
    <row r="392">
      <c r="A392" s="12" t="n"/>
      <c r="B392" s="7" t="n"/>
      <c r="C392" s="7" t="n"/>
      <c r="D392" s="7" t="n"/>
      <c r="E392" s="10">
        <f>IF(OR(B392="",C392=""),"",IFERROR(C392*INDEX(INSUMOS!$K$5:$K$67,MATCH(B392,INSUMOS!$B$5:$B$67,0)),""))</f>
        <v/>
      </c>
      <c r="F392" s="7" t="n"/>
    </row>
    <row r="393">
      <c r="A393" s="12" t="n"/>
      <c r="B393" s="7" t="n"/>
      <c r="C393" s="7" t="n"/>
      <c r="D393" s="7" t="n"/>
      <c r="E393" s="10">
        <f>IF(OR(B393="",C393=""),"",IFERROR(C393*INDEX(INSUMOS!$K$5:$K$67,MATCH(B393,INSUMOS!$B$5:$B$67,0)),""))</f>
        <v/>
      </c>
      <c r="F393" s="7" t="n"/>
    </row>
    <row r="394">
      <c r="A394" s="12" t="n"/>
      <c r="B394" s="7" t="n"/>
      <c r="C394" s="7" t="n"/>
      <c r="D394" s="7" t="n"/>
      <c r="E394" s="10">
        <f>IF(OR(B394="",C394=""),"",IFERROR(C394*INDEX(INSUMOS!$K$5:$K$67,MATCH(B394,INSUMOS!$B$5:$B$67,0)),""))</f>
        <v/>
      </c>
      <c r="F394" s="7" t="n"/>
    </row>
    <row r="395">
      <c r="A395" s="12" t="n"/>
      <c r="B395" s="7" t="n"/>
      <c r="C395" s="7" t="n"/>
      <c r="D395" s="7" t="n"/>
      <c r="E395" s="10">
        <f>IF(OR(B395="",C395=""),"",IFERROR(C395*INDEX(INSUMOS!$K$5:$K$67,MATCH(B395,INSUMOS!$B$5:$B$67,0)),""))</f>
        <v/>
      </c>
      <c r="F395" s="7" t="n"/>
    </row>
    <row r="396">
      <c r="A396" s="12" t="n"/>
      <c r="B396" s="7" t="n"/>
      <c r="C396" s="7" t="n"/>
      <c r="D396" s="7" t="n"/>
      <c r="E396" s="10">
        <f>IF(OR(B396="",C396=""),"",IFERROR(C396*INDEX(INSUMOS!$K$5:$K$67,MATCH(B396,INSUMOS!$B$5:$B$67,0)),""))</f>
        <v/>
      </c>
      <c r="F396" s="7" t="n"/>
    </row>
    <row r="397">
      <c r="A397" s="12" t="n"/>
      <c r="B397" s="7" t="n"/>
      <c r="C397" s="7" t="n"/>
      <c r="D397" s="7" t="n"/>
      <c r="E397" s="10">
        <f>IF(OR(B397="",C397=""),"",IFERROR(C397*INDEX(INSUMOS!$K$5:$K$67,MATCH(B397,INSUMOS!$B$5:$B$67,0)),""))</f>
        <v/>
      </c>
      <c r="F397" s="7" t="n"/>
    </row>
    <row r="398">
      <c r="A398" s="12" t="n"/>
      <c r="B398" s="7" t="n"/>
      <c r="C398" s="7" t="n"/>
      <c r="D398" s="7" t="n"/>
      <c r="E398" s="10">
        <f>IF(OR(B398="",C398=""),"",IFERROR(C398*INDEX(INSUMOS!$K$5:$K$67,MATCH(B398,INSUMOS!$B$5:$B$67,0)),""))</f>
        <v/>
      </c>
      <c r="F398" s="7" t="n"/>
    </row>
    <row r="399">
      <c r="A399" s="12" t="n"/>
      <c r="B399" s="7" t="n"/>
      <c r="C399" s="7" t="n"/>
      <c r="D399" s="7" t="n"/>
      <c r="E399" s="10">
        <f>IF(OR(B399="",C399=""),"",IFERROR(C399*INDEX(INSUMOS!$K$5:$K$67,MATCH(B399,INSUMOS!$B$5:$B$67,0)),""))</f>
        <v/>
      </c>
      <c r="F399" s="7" t="n"/>
    </row>
    <row r="400">
      <c r="A400" s="12" t="n"/>
      <c r="B400" s="7" t="n"/>
      <c r="C400" s="7" t="n"/>
      <c r="D400" s="7" t="n"/>
      <c r="E400" s="10">
        <f>IF(OR(B400="",C400=""),"",IFERROR(C400*INDEX(INSUMOS!$K$5:$K$67,MATCH(B400,INSUMOS!$B$5:$B$67,0)),""))</f>
        <v/>
      </c>
      <c r="F400" s="7" t="n"/>
    </row>
    <row r="401">
      <c r="A401" s="12" t="n"/>
      <c r="B401" s="7" t="n"/>
      <c r="C401" s="7" t="n"/>
      <c r="D401" s="7" t="n"/>
      <c r="E401" s="10">
        <f>IF(OR(B401="",C401=""),"",IFERROR(C401*INDEX(INSUMOS!$K$5:$K$67,MATCH(B401,INSUMOS!$B$5:$B$67,0)),""))</f>
        <v/>
      </c>
      <c r="F401" s="7" t="n"/>
    </row>
    <row r="402">
      <c r="A402" s="12" t="n"/>
      <c r="B402" s="7" t="n"/>
      <c r="C402" s="7" t="n"/>
      <c r="D402" s="7" t="n"/>
      <c r="E402" s="10">
        <f>IF(OR(B402="",C402=""),"",IFERROR(C402*INDEX(INSUMOS!$K$5:$K$67,MATCH(B402,INSUMOS!$B$5:$B$67,0)),""))</f>
        <v/>
      </c>
      <c r="F402" s="7" t="n"/>
    </row>
    <row r="403">
      <c r="A403" s="12" t="n"/>
      <c r="B403" s="7" t="n"/>
      <c r="C403" s="7" t="n"/>
      <c r="D403" s="7" t="n"/>
      <c r="E403" s="10">
        <f>IF(OR(B403="",C403=""),"",IFERROR(C403*INDEX(INSUMOS!$K$5:$K$67,MATCH(B403,INSUMOS!$B$5:$B$67,0)),""))</f>
        <v/>
      </c>
      <c r="F403" s="7" t="n"/>
    </row>
    <row r="404">
      <c r="A404" s="12" t="n"/>
      <c r="B404" s="7" t="n"/>
      <c r="C404" s="7" t="n"/>
      <c r="D404" s="7" t="n"/>
      <c r="E404" s="10">
        <f>IF(OR(B404="",C404=""),"",IFERROR(C404*INDEX(INSUMOS!$K$5:$K$67,MATCH(B404,INSUMOS!$B$5:$B$67,0)),""))</f>
        <v/>
      </c>
      <c r="F404" s="7" t="n"/>
    </row>
    <row r="405">
      <c r="A405" s="12" t="n"/>
      <c r="B405" s="7" t="n"/>
      <c r="C405" s="7" t="n"/>
      <c r="D405" s="7" t="n"/>
      <c r="E405" s="10">
        <f>IF(OR(B405="",C405=""),"",IFERROR(C405*INDEX(INSUMOS!$K$5:$K$67,MATCH(B405,INSUMOS!$B$5:$B$67,0)),""))</f>
        <v/>
      </c>
      <c r="F405" s="7" t="n"/>
    </row>
    <row r="406">
      <c r="A406" s="12" t="n"/>
      <c r="B406" s="7" t="n"/>
      <c r="C406" s="7" t="n"/>
      <c r="D406" s="7" t="n"/>
      <c r="E406" s="10">
        <f>IF(OR(B406="",C406=""),"",IFERROR(C406*INDEX(INSUMOS!$K$5:$K$67,MATCH(B406,INSUMOS!$B$5:$B$67,0)),""))</f>
        <v/>
      </c>
      <c r="F406" s="7" t="n"/>
    </row>
    <row r="407">
      <c r="A407" s="12" t="n"/>
      <c r="B407" s="7" t="n"/>
      <c r="C407" s="7" t="n"/>
      <c r="D407" s="7" t="n"/>
      <c r="E407" s="10">
        <f>IF(OR(B407="",C407=""),"",IFERROR(C407*INDEX(INSUMOS!$K$5:$K$67,MATCH(B407,INSUMOS!$B$5:$B$67,0)),""))</f>
        <v/>
      </c>
      <c r="F407" s="7" t="n"/>
    </row>
    <row r="408">
      <c r="A408" s="12" t="n"/>
      <c r="B408" s="7" t="n"/>
      <c r="C408" s="7" t="n"/>
      <c r="D408" s="7" t="n"/>
      <c r="E408" s="10">
        <f>IF(OR(B408="",C408=""),"",IFERROR(C408*INDEX(INSUMOS!$K$5:$K$67,MATCH(B408,INSUMOS!$B$5:$B$67,0)),""))</f>
        <v/>
      </c>
      <c r="F408" s="7" t="n"/>
    </row>
    <row r="409">
      <c r="A409" s="12" t="n"/>
      <c r="B409" s="7" t="n"/>
      <c r="C409" s="7" t="n"/>
      <c r="D409" s="7" t="n"/>
      <c r="E409" s="10">
        <f>IF(OR(B409="",C409=""),"",IFERROR(C409*INDEX(INSUMOS!$K$5:$K$67,MATCH(B409,INSUMOS!$B$5:$B$67,0)),""))</f>
        <v/>
      </c>
      <c r="F409" s="7" t="n"/>
    </row>
    <row r="410">
      <c r="A410" s="12" t="n"/>
      <c r="B410" s="7" t="n"/>
      <c r="C410" s="7" t="n"/>
      <c r="D410" s="7" t="n"/>
      <c r="E410" s="10">
        <f>IF(OR(B410="",C410=""),"",IFERROR(C410*INDEX(INSUMOS!$K$5:$K$67,MATCH(B410,INSUMOS!$B$5:$B$67,0)),""))</f>
        <v/>
      </c>
      <c r="F410" s="7" t="n"/>
    </row>
    <row r="411">
      <c r="A411" s="12" t="n"/>
      <c r="B411" s="7" t="n"/>
      <c r="C411" s="7" t="n"/>
      <c r="D411" s="7" t="n"/>
      <c r="E411" s="10">
        <f>IF(OR(B411="",C411=""),"",IFERROR(C411*INDEX(INSUMOS!$K$5:$K$67,MATCH(B411,INSUMOS!$B$5:$B$67,0)),""))</f>
        <v/>
      </c>
      <c r="F411" s="7" t="n"/>
    </row>
    <row r="412">
      <c r="A412" s="12" t="n"/>
      <c r="B412" s="7" t="n"/>
      <c r="C412" s="7" t="n"/>
      <c r="D412" s="7" t="n"/>
      <c r="E412" s="10">
        <f>IF(OR(B412="",C412=""),"",IFERROR(C412*INDEX(INSUMOS!$K$5:$K$67,MATCH(B412,INSUMOS!$B$5:$B$67,0)),""))</f>
        <v/>
      </c>
      <c r="F412" s="7" t="n"/>
    </row>
    <row r="413">
      <c r="A413" s="12" t="n"/>
      <c r="B413" s="7" t="n"/>
      <c r="C413" s="7" t="n"/>
      <c r="D413" s="7" t="n"/>
      <c r="E413" s="10">
        <f>IF(OR(B413="",C413=""),"",IFERROR(C413*INDEX(INSUMOS!$K$5:$K$67,MATCH(B413,INSUMOS!$B$5:$B$67,0)),""))</f>
        <v/>
      </c>
      <c r="F413" s="7" t="n"/>
    </row>
    <row r="414">
      <c r="A414" s="12" t="n"/>
      <c r="B414" s="7" t="n"/>
      <c r="C414" s="7" t="n"/>
      <c r="D414" s="7" t="n"/>
      <c r="E414" s="10">
        <f>IF(OR(B414="",C414=""),"",IFERROR(C414*INDEX(INSUMOS!$K$5:$K$67,MATCH(B414,INSUMOS!$B$5:$B$67,0)),""))</f>
        <v/>
      </c>
      <c r="F414" s="7" t="n"/>
    </row>
    <row r="415">
      <c r="A415" s="12" t="n"/>
      <c r="B415" s="7" t="n"/>
      <c r="C415" s="7" t="n"/>
      <c r="D415" s="7" t="n"/>
      <c r="E415" s="10">
        <f>IF(OR(B415="",C415=""),"",IFERROR(C415*INDEX(INSUMOS!$K$5:$K$67,MATCH(B415,INSUMOS!$B$5:$B$67,0)),""))</f>
        <v/>
      </c>
      <c r="F415" s="7" t="n"/>
    </row>
    <row r="416">
      <c r="A416" s="12" t="n"/>
      <c r="B416" s="7" t="n"/>
      <c r="C416" s="7" t="n"/>
      <c r="D416" s="7" t="n"/>
      <c r="E416" s="10">
        <f>IF(OR(B416="",C416=""),"",IFERROR(C416*INDEX(INSUMOS!$K$5:$K$67,MATCH(B416,INSUMOS!$B$5:$B$67,0)),""))</f>
        <v/>
      </c>
      <c r="F416" s="7" t="n"/>
    </row>
    <row r="417">
      <c r="A417" s="12" t="n"/>
      <c r="B417" s="7" t="n"/>
      <c r="C417" s="7" t="n"/>
      <c r="D417" s="7" t="n"/>
      <c r="E417" s="10">
        <f>IF(OR(B417="",C417=""),"",IFERROR(C417*INDEX(INSUMOS!$K$5:$K$67,MATCH(B417,INSUMOS!$B$5:$B$67,0)),""))</f>
        <v/>
      </c>
      <c r="F417" s="7" t="n"/>
    </row>
    <row r="418">
      <c r="A418" s="12" t="n"/>
      <c r="B418" s="7" t="n"/>
      <c r="C418" s="7" t="n"/>
      <c r="D418" s="7" t="n"/>
      <c r="E418" s="10">
        <f>IF(OR(B418="",C418=""),"",IFERROR(C418*INDEX(INSUMOS!$K$5:$K$67,MATCH(B418,INSUMOS!$B$5:$B$67,0)),""))</f>
        <v/>
      </c>
      <c r="F418" s="7" t="n"/>
    </row>
    <row r="419">
      <c r="A419" s="12" t="n"/>
      <c r="B419" s="7" t="n"/>
      <c r="C419" s="7" t="n"/>
      <c r="D419" s="7" t="n"/>
      <c r="E419" s="10">
        <f>IF(OR(B419="",C419=""),"",IFERROR(C419*INDEX(INSUMOS!$K$5:$K$67,MATCH(B419,INSUMOS!$B$5:$B$67,0)),""))</f>
        <v/>
      </c>
      <c r="F419" s="7" t="n"/>
    </row>
    <row r="420">
      <c r="A420" s="12" t="n"/>
      <c r="B420" s="7" t="n"/>
      <c r="C420" s="7" t="n"/>
      <c r="D420" s="7" t="n"/>
      <c r="E420" s="10">
        <f>IF(OR(B420="",C420=""),"",IFERROR(C420*INDEX(INSUMOS!$K$5:$K$67,MATCH(B420,INSUMOS!$B$5:$B$67,0)),""))</f>
        <v/>
      </c>
      <c r="F420" s="7" t="n"/>
    </row>
    <row r="421">
      <c r="A421" s="12" t="n"/>
      <c r="B421" s="7" t="n"/>
      <c r="C421" s="7" t="n"/>
      <c r="D421" s="7" t="n"/>
      <c r="E421" s="10">
        <f>IF(OR(B421="",C421=""),"",IFERROR(C421*INDEX(INSUMOS!$K$5:$K$67,MATCH(B421,INSUMOS!$B$5:$B$67,0)),""))</f>
        <v/>
      </c>
      <c r="F421" s="7" t="n"/>
    </row>
    <row r="422">
      <c r="A422" s="12" t="n"/>
      <c r="B422" s="7" t="n"/>
      <c r="C422" s="7" t="n"/>
      <c r="D422" s="7" t="n"/>
      <c r="E422" s="10">
        <f>IF(OR(B422="",C422=""),"",IFERROR(C422*INDEX(INSUMOS!$K$5:$K$67,MATCH(B422,INSUMOS!$B$5:$B$67,0)),""))</f>
        <v/>
      </c>
      <c r="F422" s="7" t="n"/>
    </row>
    <row r="423">
      <c r="A423" s="12" t="n"/>
      <c r="B423" s="7" t="n"/>
      <c r="C423" s="7" t="n"/>
      <c r="D423" s="7" t="n"/>
      <c r="E423" s="10">
        <f>IF(OR(B423="",C423=""),"",IFERROR(C423*INDEX(INSUMOS!$K$5:$K$67,MATCH(B423,INSUMOS!$B$5:$B$67,0)),""))</f>
        <v/>
      </c>
      <c r="F423" s="7" t="n"/>
    </row>
    <row r="424">
      <c r="A424" s="12" t="n"/>
      <c r="B424" s="7" t="n"/>
      <c r="C424" s="7" t="n"/>
      <c r="D424" s="7" t="n"/>
      <c r="E424" s="10">
        <f>IF(OR(B424="",C424=""),"",IFERROR(C424*INDEX(INSUMOS!$K$5:$K$67,MATCH(B424,INSUMOS!$B$5:$B$67,0)),""))</f>
        <v/>
      </c>
      <c r="F424" s="7" t="n"/>
    </row>
    <row r="425">
      <c r="A425" s="12" t="n"/>
      <c r="B425" s="7" t="n"/>
      <c r="C425" s="7" t="n"/>
      <c r="D425" s="7" t="n"/>
      <c r="E425" s="10">
        <f>IF(OR(B425="",C425=""),"",IFERROR(C425*INDEX(INSUMOS!$K$5:$K$67,MATCH(B425,INSUMOS!$B$5:$B$67,0)),""))</f>
        <v/>
      </c>
      <c r="F425" s="7" t="n"/>
    </row>
    <row r="426">
      <c r="A426" s="12" t="n"/>
      <c r="B426" s="7" t="n"/>
      <c r="C426" s="7" t="n"/>
      <c r="D426" s="7" t="n"/>
      <c r="E426" s="10">
        <f>IF(OR(B426="",C426=""),"",IFERROR(C426*INDEX(INSUMOS!$K$5:$K$67,MATCH(B426,INSUMOS!$B$5:$B$67,0)),""))</f>
        <v/>
      </c>
      <c r="F426" s="7" t="n"/>
    </row>
    <row r="427">
      <c r="A427" s="12" t="n"/>
      <c r="B427" s="7" t="n"/>
      <c r="C427" s="7" t="n"/>
      <c r="D427" s="7" t="n"/>
      <c r="E427" s="10">
        <f>IF(OR(B427="",C427=""),"",IFERROR(C427*INDEX(INSUMOS!$K$5:$K$67,MATCH(B427,INSUMOS!$B$5:$B$67,0)),""))</f>
        <v/>
      </c>
      <c r="F427" s="7" t="n"/>
    </row>
    <row r="428">
      <c r="A428" s="12" t="n"/>
      <c r="B428" s="7" t="n"/>
      <c r="C428" s="7" t="n"/>
      <c r="D428" s="7" t="n"/>
      <c r="E428" s="10">
        <f>IF(OR(B428="",C428=""),"",IFERROR(C428*INDEX(INSUMOS!$K$5:$K$67,MATCH(B428,INSUMOS!$B$5:$B$67,0)),""))</f>
        <v/>
      </c>
      <c r="F428" s="7" t="n"/>
    </row>
    <row r="429">
      <c r="A429" s="12" t="n"/>
      <c r="B429" s="7" t="n"/>
      <c r="C429" s="7" t="n"/>
      <c r="D429" s="7" t="n"/>
      <c r="E429" s="10">
        <f>IF(OR(B429="",C429=""),"",IFERROR(C429*INDEX(INSUMOS!$K$5:$K$67,MATCH(B429,INSUMOS!$B$5:$B$67,0)),""))</f>
        <v/>
      </c>
      <c r="F429" s="7" t="n"/>
    </row>
    <row r="430">
      <c r="A430" s="12" t="n"/>
      <c r="B430" s="7" t="n"/>
      <c r="C430" s="7" t="n"/>
      <c r="D430" s="7" t="n"/>
      <c r="E430" s="10">
        <f>IF(OR(B430="",C430=""),"",IFERROR(C430*INDEX(INSUMOS!$K$5:$K$67,MATCH(B430,INSUMOS!$B$5:$B$67,0)),""))</f>
        <v/>
      </c>
      <c r="F430" s="7" t="n"/>
    </row>
    <row r="431">
      <c r="A431" s="12" t="n"/>
      <c r="B431" s="7" t="n"/>
      <c r="C431" s="7" t="n"/>
      <c r="D431" s="7" t="n"/>
      <c r="E431" s="10">
        <f>IF(OR(B431="",C431=""),"",IFERROR(C431*INDEX(INSUMOS!$K$5:$K$67,MATCH(B431,INSUMOS!$B$5:$B$67,0)),""))</f>
        <v/>
      </c>
      <c r="F431" s="7" t="n"/>
    </row>
    <row r="432">
      <c r="A432" s="12" t="n"/>
      <c r="B432" s="7" t="n"/>
      <c r="C432" s="7" t="n"/>
      <c r="D432" s="7" t="n"/>
      <c r="E432" s="10">
        <f>IF(OR(B432="",C432=""),"",IFERROR(C432*INDEX(INSUMOS!$K$5:$K$67,MATCH(B432,INSUMOS!$B$5:$B$67,0)),""))</f>
        <v/>
      </c>
      <c r="F432" s="7" t="n"/>
    </row>
    <row r="433">
      <c r="A433" s="12" t="n"/>
      <c r="B433" s="7" t="n"/>
      <c r="C433" s="7" t="n"/>
      <c r="D433" s="7" t="n"/>
      <c r="E433" s="10">
        <f>IF(OR(B433="",C433=""),"",IFERROR(C433*INDEX(INSUMOS!$K$5:$K$67,MATCH(B433,INSUMOS!$B$5:$B$67,0)),""))</f>
        <v/>
      </c>
      <c r="F433" s="7" t="n"/>
    </row>
    <row r="434">
      <c r="A434" s="12" t="n"/>
      <c r="B434" s="7" t="n"/>
      <c r="C434" s="7" t="n"/>
      <c r="D434" s="7" t="n"/>
      <c r="E434" s="10">
        <f>IF(OR(B434="",C434=""),"",IFERROR(C434*INDEX(INSUMOS!$K$5:$K$67,MATCH(B434,INSUMOS!$B$5:$B$67,0)),""))</f>
        <v/>
      </c>
      <c r="F434" s="7" t="n"/>
    </row>
    <row r="435">
      <c r="A435" s="12" t="n"/>
      <c r="B435" s="7" t="n"/>
      <c r="C435" s="7" t="n"/>
      <c r="D435" s="7" t="n"/>
      <c r="E435" s="10">
        <f>IF(OR(B435="",C435=""),"",IFERROR(C435*INDEX(INSUMOS!$K$5:$K$67,MATCH(B435,INSUMOS!$B$5:$B$67,0)),""))</f>
        <v/>
      </c>
      <c r="F435" s="7" t="n"/>
    </row>
    <row r="436">
      <c r="A436" s="12" t="n"/>
      <c r="B436" s="7" t="n"/>
      <c r="C436" s="7" t="n"/>
      <c r="D436" s="7" t="n"/>
      <c r="E436" s="10">
        <f>IF(OR(B436="",C436=""),"",IFERROR(C436*INDEX(INSUMOS!$K$5:$K$67,MATCH(B436,INSUMOS!$B$5:$B$67,0)),""))</f>
        <v/>
      </c>
      <c r="F436" s="7" t="n"/>
    </row>
    <row r="437">
      <c r="A437" s="12" t="n"/>
      <c r="B437" s="7" t="n"/>
      <c r="C437" s="7" t="n"/>
      <c r="D437" s="7" t="n"/>
      <c r="E437" s="10">
        <f>IF(OR(B437="",C437=""),"",IFERROR(C437*INDEX(INSUMOS!$K$5:$K$67,MATCH(B437,INSUMOS!$B$5:$B$67,0)),""))</f>
        <v/>
      </c>
      <c r="F437" s="7" t="n"/>
    </row>
    <row r="438">
      <c r="A438" s="12" t="n"/>
      <c r="B438" s="7" t="n"/>
      <c r="C438" s="7" t="n"/>
      <c r="D438" s="7" t="n"/>
      <c r="E438" s="10">
        <f>IF(OR(B438="",C438=""),"",IFERROR(C438*INDEX(INSUMOS!$K$5:$K$67,MATCH(B438,INSUMOS!$B$5:$B$67,0)),""))</f>
        <v/>
      </c>
      <c r="F438" s="7" t="n"/>
    </row>
    <row r="439">
      <c r="A439" s="12" t="n"/>
      <c r="B439" s="7" t="n"/>
      <c r="C439" s="7" t="n"/>
      <c r="D439" s="7" t="n"/>
      <c r="E439" s="10">
        <f>IF(OR(B439="",C439=""),"",IFERROR(C439*INDEX(INSUMOS!$K$5:$K$67,MATCH(B439,INSUMOS!$B$5:$B$67,0)),""))</f>
        <v/>
      </c>
      <c r="F439" s="7" t="n"/>
    </row>
    <row r="440">
      <c r="A440" s="12" t="n"/>
      <c r="B440" s="7" t="n"/>
      <c r="C440" s="7" t="n"/>
      <c r="D440" s="7" t="n"/>
      <c r="E440" s="10">
        <f>IF(OR(B440="",C440=""),"",IFERROR(C440*INDEX(INSUMOS!$K$5:$K$67,MATCH(B440,INSUMOS!$B$5:$B$67,0)),""))</f>
        <v/>
      </c>
      <c r="F440" s="7" t="n"/>
    </row>
    <row r="441">
      <c r="A441" s="12" t="n"/>
      <c r="B441" s="7" t="n"/>
      <c r="C441" s="7" t="n"/>
      <c r="D441" s="7" t="n"/>
      <c r="E441" s="10">
        <f>IF(OR(B441="",C441=""),"",IFERROR(C441*INDEX(INSUMOS!$K$5:$K$67,MATCH(B441,INSUMOS!$B$5:$B$67,0)),""))</f>
        <v/>
      </c>
      <c r="F441" s="7" t="n"/>
    </row>
    <row r="442">
      <c r="A442" s="12" t="n"/>
      <c r="B442" s="7" t="n"/>
      <c r="C442" s="7" t="n"/>
      <c r="D442" s="7" t="n"/>
      <c r="E442" s="10">
        <f>IF(OR(B442="",C442=""),"",IFERROR(C442*INDEX(INSUMOS!$K$5:$K$67,MATCH(B442,INSUMOS!$B$5:$B$67,0)),""))</f>
        <v/>
      </c>
      <c r="F442" s="7" t="n"/>
    </row>
    <row r="443">
      <c r="A443" s="12" t="n"/>
      <c r="B443" s="7" t="n"/>
      <c r="C443" s="7" t="n"/>
      <c r="D443" s="7" t="n"/>
      <c r="E443" s="10">
        <f>IF(OR(B443="",C443=""),"",IFERROR(C443*INDEX(INSUMOS!$K$5:$K$67,MATCH(B443,INSUMOS!$B$5:$B$67,0)),""))</f>
        <v/>
      </c>
      <c r="F443" s="7" t="n"/>
    </row>
    <row r="444">
      <c r="A444" s="12" t="n"/>
      <c r="B444" s="7" t="n"/>
      <c r="C444" s="7" t="n"/>
      <c r="D444" s="7" t="n"/>
      <c r="E444" s="10">
        <f>IF(OR(B444="",C444=""),"",IFERROR(C444*INDEX(INSUMOS!$K$5:$K$67,MATCH(B444,INSUMOS!$B$5:$B$67,0)),""))</f>
        <v/>
      </c>
      <c r="F444" s="7" t="n"/>
    </row>
    <row r="445">
      <c r="A445" s="12" t="n"/>
      <c r="B445" s="7" t="n"/>
      <c r="C445" s="7" t="n"/>
      <c r="D445" s="7" t="n"/>
      <c r="E445" s="10">
        <f>IF(OR(B445="",C445=""),"",IFERROR(C445*INDEX(INSUMOS!$K$5:$K$67,MATCH(B445,INSUMOS!$B$5:$B$67,0)),""))</f>
        <v/>
      </c>
      <c r="F445" s="7" t="n"/>
    </row>
    <row r="446">
      <c r="A446" s="12" t="n"/>
      <c r="B446" s="7" t="n"/>
      <c r="C446" s="7" t="n"/>
      <c r="D446" s="7" t="n"/>
      <c r="E446" s="10">
        <f>IF(OR(B446="",C446=""),"",IFERROR(C446*INDEX(INSUMOS!$K$5:$K$67,MATCH(B446,INSUMOS!$B$5:$B$67,0)),""))</f>
        <v/>
      </c>
      <c r="F446" s="7" t="n"/>
    </row>
    <row r="447">
      <c r="A447" s="12" t="n"/>
      <c r="B447" s="7" t="n"/>
      <c r="C447" s="7" t="n"/>
      <c r="D447" s="7" t="n"/>
      <c r="E447" s="10">
        <f>IF(OR(B447="",C447=""),"",IFERROR(C447*INDEX(INSUMOS!$K$5:$K$67,MATCH(B447,INSUMOS!$B$5:$B$67,0)),""))</f>
        <v/>
      </c>
      <c r="F447" s="7" t="n"/>
    </row>
    <row r="448">
      <c r="A448" s="12" t="n"/>
      <c r="B448" s="7" t="n"/>
      <c r="C448" s="7" t="n"/>
      <c r="D448" s="7" t="n"/>
      <c r="E448" s="10">
        <f>IF(OR(B448="",C448=""),"",IFERROR(C448*INDEX(INSUMOS!$K$5:$K$67,MATCH(B448,INSUMOS!$B$5:$B$67,0)),""))</f>
        <v/>
      </c>
      <c r="F448" s="7" t="n"/>
    </row>
    <row r="449">
      <c r="A449" s="12" t="n"/>
      <c r="B449" s="7" t="n"/>
      <c r="C449" s="7" t="n"/>
      <c r="D449" s="7" t="n"/>
      <c r="E449" s="10">
        <f>IF(OR(B449="",C449=""),"",IFERROR(C449*INDEX(INSUMOS!$K$5:$K$67,MATCH(B449,INSUMOS!$B$5:$B$67,0)),""))</f>
        <v/>
      </c>
      <c r="F449" s="7" t="n"/>
    </row>
    <row r="450">
      <c r="A450" s="12" t="n"/>
      <c r="B450" s="7" t="n"/>
      <c r="C450" s="7" t="n"/>
      <c r="D450" s="7" t="n"/>
      <c r="E450" s="10">
        <f>IF(OR(B450="",C450=""),"",IFERROR(C450*INDEX(INSUMOS!$K$5:$K$67,MATCH(B450,INSUMOS!$B$5:$B$67,0)),""))</f>
        <v/>
      </c>
      <c r="F450" s="7" t="n"/>
    </row>
    <row r="451">
      <c r="A451" s="12" t="n"/>
      <c r="B451" s="7" t="n"/>
      <c r="C451" s="7" t="n"/>
      <c r="D451" s="7" t="n"/>
      <c r="E451" s="10">
        <f>IF(OR(B451="",C451=""),"",IFERROR(C451*INDEX(INSUMOS!$K$5:$K$67,MATCH(B451,INSUMOS!$B$5:$B$67,0)),""))</f>
        <v/>
      </c>
      <c r="F451" s="7" t="n"/>
    </row>
    <row r="452">
      <c r="A452" s="12" t="n"/>
      <c r="B452" s="7" t="n"/>
      <c r="C452" s="7" t="n"/>
      <c r="D452" s="7" t="n"/>
      <c r="E452" s="10">
        <f>IF(OR(B452="",C452=""),"",IFERROR(C452*INDEX(INSUMOS!$K$5:$K$67,MATCH(B452,INSUMOS!$B$5:$B$67,0)),""))</f>
        <v/>
      </c>
      <c r="F452" s="7" t="n"/>
    </row>
    <row r="453">
      <c r="A453" s="12" t="n"/>
      <c r="B453" s="7" t="n"/>
      <c r="C453" s="7" t="n"/>
      <c r="D453" s="7" t="n"/>
      <c r="E453" s="10">
        <f>IF(OR(B453="",C453=""),"",IFERROR(C453*INDEX(INSUMOS!$K$5:$K$67,MATCH(B453,INSUMOS!$B$5:$B$67,0)),""))</f>
        <v/>
      </c>
      <c r="F453" s="7" t="n"/>
    </row>
    <row r="454">
      <c r="A454" s="12" t="n"/>
      <c r="B454" s="7" t="n"/>
      <c r="C454" s="7" t="n"/>
      <c r="D454" s="7" t="n"/>
      <c r="E454" s="10">
        <f>IF(OR(B454="",C454=""),"",IFERROR(C454*INDEX(INSUMOS!$K$5:$K$67,MATCH(B454,INSUMOS!$B$5:$B$67,0)),""))</f>
        <v/>
      </c>
      <c r="F454" s="7" t="n"/>
    </row>
    <row r="455">
      <c r="A455" s="12" t="n"/>
      <c r="B455" s="7" t="n"/>
      <c r="C455" s="7" t="n"/>
      <c r="D455" s="7" t="n"/>
      <c r="E455" s="10">
        <f>IF(OR(B455="",C455=""),"",IFERROR(C455*INDEX(INSUMOS!$K$5:$K$67,MATCH(B455,INSUMOS!$B$5:$B$67,0)),""))</f>
        <v/>
      </c>
      <c r="F455" s="7" t="n"/>
    </row>
    <row r="456">
      <c r="A456" s="12" t="n"/>
      <c r="B456" s="7" t="n"/>
      <c r="C456" s="7" t="n"/>
      <c r="D456" s="7" t="n"/>
      <c r="E456" s="10">
        <f>IF(OR(B456="",C456=""),"",IFERROR(C456*INDEX(INSUMOS!$K$5:$K$67,MATCH(B456,INSUMOS!$B$5:$B$67,0)),""))</f>
        <v/>
      </c>
      <c r="F456" s="7" t="n"/>
    </row>
    <row r="457">
      <c r="A457" s="12" t="n"/>
      <c r="B457" s="7" t="n"/>
      <c r="C457" s="7" t="n"/>
      <c r="D457" s="7" t="n"/>
      <c r="E457" s="10">
        <f>IF(OR(B457="",C457=""),"",IFERROR(C457*INDEX(INSUMOS!$K$5:$K$67,MATCH(B457,INSUMOS!$B$5:$B$67,0)),""))</f>
        <v/>
      </c>
      <c r="F457" s="7" t="n"/>
    </row>
    <row r="458">
      <c r="A458" s="12" t="n"/>
      <c r="B458" s="7" t="n"/>
      <c r="C458" s="7" t="n"/>
      <c r="D458" s="7" t="n"/>
      <c r="E458" s="10">
        <f>IF(OR(B458="",C458=""),"",IFERROR(C458*INDEX(INSUMOS!$K$5:$K$67,MATCH(B458,INSUMOS!$B$5:$B$67,0)),""))</f>
        <v/>
      </c>
      <c r="F458" s="7" t="n"/>
    </row>
    <row r="459">
      <c r="A459" s="12" t="n"/>
      <c r="B459" s="7" t="n"/>
      <c r="C459" s="7" t="n"/>
      <c r="D459" s="7" t="n"/>
      <c r="E459" s="10">
        <f>IF(OR(B459="",C459=""),"",IFERROR(C459*INDEX(INSUMOS!$K$5:$K$67,MATCH(B459,INSUMOS!$B$5:$B$67,0)),""))</f>
        <v/>
      </c>
      <c r="F459" s="7" t="n"/>
    </row>
    <row r="460">
      <c r="A460" s="12" t="n"/>
      <c r="B460" s="7" t="n"/>
      <c r="C460" s="7" t="n"/>
      <c r="D460" s="7" t="n"/>
      <c r="E460" s="10">
        <f>IF(OR(B460="",C460=""),"",IFERROR(C460*INDEX(INSUMOS!$K$5:$K$67,MATCH(B460,INSUMOS!$B$5:$B$67,0)),""))</f>
        <v/>
      </c>
      <c r="F460" s="7" t="n"/>
    </row>
    <row r="461">
      <c r="A461" s="12" t="n"/>
      <c r="B461" s="7" t="n"/>
      <c r="C461" s="7" t="n"/>
      <c r="D461" s="7" t="n"/>
      <c r="E461" s="10">
        <f>IF(OR(B461="",C461=""),"",IFERROR(C461*INDEX(INSUMOS!$K$5:$K$67,MATCH(B461,INSUMOS!$B$5:$B$67,0)),""))</f>
        <v/>
      </c>
      <c r="F461" s="7" t="n"/>
    </row>
    <row r="462">
      <c r="A462" s="12" t="n"/>
      <c r="B462" s="7" t="n"/>
      <c r="C462" s="7" t="n"/>
      <c r="D462" s="7" t="n"/>
      <c r="E462" s="10">
        <f>IF(OR(B462="",C462=""),"",IFERROR(C462*INDEX(INSUMOS!$K$5:$K$67,MATCH(B462,INSUMOS!$B$5:$B$67,0)),""))</f>
        <v/>
      </c>
      <c r="F462" s="7" t="n"/>
    </row>
    <row r="463">
      <c r="A463" s="12" t="n"/>
      <c r="B463" s="7" t="n"/>
      <c r="C463" s="7" t="n"/>
      <c r="D463" s="7" t="n"/>
      <c r="E463" s="10">
        <f>IF(OR(B463="",C463=""),"",IFERROR(C463*INDEX(INSUMOS!$K$5:$K$67,MATCH(B463,INSUMOS!$B$5:$B$67,0)),""))</f>
        <v/>
      </c>
      <c r="F463" s="7" t="n"/>
    </row>
    <row r="464">
      <c r="A464" s="12" t="n"/>
      <c r="B464" s="7" t="n"/>
      <c r="C464" s="7" t="n"/>
      <c r="D464" s="7" t="n"/>
      <c r="E464" s="10">
        <f>IF(OR(B464="",C464=""),"",IFERROR(C464*INDEX(INSUMOS!$K$5:$K$67,MATCH(B464,INSUMOS!$B$5:$B$67,0)),""))</f>
        <v/>
      </c>
      <c r="F464" s="7" t="n"/>
    </row>
    <row r="465">
      <c r="A465" s="12" t="n"/>
      <c r="B465" s="7" t="n"/>
      <c r="C465" s="7" t="n"/>
      <c r="D465" s="7" t="n"/>
      <c r="E465" s="10">
        <f>IF(OR(B465="",C465=""),"",IFERROR(C465*INDEX(INSUMOS!$K$5:$K$67,MATCH(B465,INSUMOS!$B$5:$B$67,0)),""))</f>
        <v/>
      </c>
      <c r="F465" s="7" t="n"/>
    </row>
    <row r="466">
      <c r="A466" s="12" t="n"/>
      <c r="B466" s="7" t="n"/>
      <c r="C466" s="7" t="n"/>
      <c r="D466" s="7" t="n"/>
      <c r="E466" s="10">
        <f>IF(OR(B466="",C466=""),"",IFERROR(C466*INDEX(INSUMOS!$K$5:$K$67,MATCH(B466,INSUMOS!$B$5:$B$67,0)),""))</f>
        <v/>
      </c>
      <c r="F466" s="7" t="n"/>
    </row>
    <row r="467">
      <c r="A467" s="12" t="n"/>
      <c r="B467" s="7" t="n"/>
      <c r="C467" s="7" t="n"/>
      <c r="D467" s="7" t="n"/>
      <c r="E467" s="10">
        <f>IF(OR(B467="",C467=""),"",IFERROR(C467*INDEX(INSUMOS!$K$5:$K$67,MATCH(B467,INSUMOS!$B$5:$B$67,0)),""))</f>
        <v/>
      </c>
      <c r="F467" s="7" t="n"/>
    </row>
    <row r="468">
      <c r="A468" s="12" t="n"/>
      <c r="B468" s="7" t="n"/>
      <c r="C468" s="7" t="n"/>
      <c r="D468" s="7" t="n"/>
      <c r="E468" s="10">
        <f>IF(OR(B468="",C468=""),"",IFERROR(C468*INDEX(INSUMOS!$K$5:$K$67,MATCH(B468,INSUMOS!$B$5:$B$67,0)),""))</f>
        <v/>
      </c>
      <c r="F468" s="7" t="n"/>
    </row>
    <row r="469">
      <c r="A469" s="12" t="n"/>
      <c r="B469" s="7" t="n"/>
      <c r="C469" s="7" t="n"/>
      <c r="D469" s="7" t="n"/>
      <c r="E469" s="10">
        <f>IF(OR(B469="",C469=""),"",IFERROR(C469*INDEX(INSUMOS!$K$5:$K$67,MATCH(B469,INSUMOS!$B$5:$B$67,0)),""))</f>
        <v/>
      </c>
      <c r="F469" s="7" t="n"/>
    </row>
    <row r="470">
      <c r="A470" s="12" t="n"/>
      <c r="B470" s="7" t="n"/>
      <c r="C470" s="7" t="n"/>
      <c r="D470" s="7" t="n"/>
      <c r="E470" s="10">
        <f>IF(OR(B470="",C470=""),"",IFERROR(C470*INDEX(INSUMOS!$K$5:$K$67,MATCH(B470,INSUMOS!$B$5:$B$67,0)),""))</f>
        <v/>
      </c>
      <c r="F470" s="7" t="n"/>
    </row>
    <row r="471">
      <c r="A471" s="12" t="n"/>
      <c r="B471" s="7" t="n"/>
      <c r="C471" s="7" t="n"/>
      <c r="D471" s="7" t="n"/>
      <c r="E471" s="10">
        <f>IF(OR(B471="",C471=""),"",IFERROR(C471*INDEX(INSUMOS!$K$5:$K$67,MATCH(B471,INSUMOS!$B$5:$B$67,0)),""))</f>
        <v/>
      </c>
      <c r="F471" s="7" t="n"/>
    </row>
    <row r="472">
      <c r="A472" s="12" t="n"/>
      <c r="B472" s="7" t="n"/>
      <c r="C472" s="7" t="n"/>
      <c r="D472" s="7" t="n"/>
      <c r="E472" s="10">
        <f>IF(OR(B472="",C472=""),"",IFERROR(C472*INDEX(INSUMOS!$K$5:$K$67,MATCH(B472,INSUMOS!$B$5:$B$67,0)),""))</f>
        <v/>
      </c>
      <c r="F472" s="7" t="n"/>
    </row>
    <row r="473">
      <c r="A473" s="12" t="n"/>
      <c r="B473" s="7" t="n"/>
      <c r="C473" s="7" t="n"/>
      <c r="D473" s="7" t="n"/>
      <c r="E473" s="10">
        <f>IF(OR(B473="",C473=""),"",IFERROR(C473*INDEX(INSUMOS!$K$5:$K$67,MATCH(B473,INSUMOS!$B$5:$B$67,0)),""))</f>
        <v/>
      </c>
      <c r="F473" s="7" t="n"/>
    </row>
    <row r="474">
      <c r="A474" s="12" t="n"/>
      <c r="B474" s="7" t="n"/>
      <c r="C474" s="7" t="n"/>
      <c r="D474" s="7" t="n"/>
      <c r="E474" s="10">
        <f>IF(OR(B474="",C474=""),"",IFERROR(C474*INDEX(INSUMOS!$K$5:$K$67,MATCH(B474,INSUMOS!$B$5:$B$67,0)),""))</f>
        <v/>
      </c>
      <c r="F474" s="7" t="n"/>
    </row>
    <row r="475">
      <c r="A475" s="12" t="n"/>
      <c r="B475" s="7" t="n"/>
      <c r="C475" s="7" t="n"/>
      <c r="D475" s="7" t="n"/>
      <c r="E475" s="10">
        <f>IF(OR(B475="",C475=""),"",IFERROR(C475*INDEX(INSUMOS!$K$5:$K$67,MATCH(B475,INSUMOS!$B$5:$B$67,0)),""))</f>
        <v/>
      </c>
      <c r="F475" s="7" t="n"/>
    </row>
    <row r="476">
      <c r="A476" s="12" t="n"/>
      <c r="B476" s="7" t="n"/>
      <c r="C476" s="7" t="n"/>
      <c r="D476" s="7" t="n"/>
      <c r="E476" s="10">
        <f>IF(OR(B476="",C476=""),"",IFERROR(C476*INDEX(INSUMOS!$K$5:$K$67,MATCH(B476,INSUMOS!$B$5:$B$67,0)),""))</f>
        <v/>
      </c>
      <c r="F476" s="7" t="n"/>
    </row>
    <row r="477">
      <c r="A477" s="12" t="n"/>
      <c r="B477" s="7" t="n"/>
      <c r="C477" s="7" t="n"/>
      <c r="D477" s="7" t="n"/>
      <c r="E477" s="10">
        <f>IF(OR(B477="",C477=""),"",IFERROR(C477*INDEX(INSUMOS!$K$5:$K$67,MATCH(B477,INSUMOS!$B$5:$B$67,0)),""))</f>
        <v/>
      </c>
      <c r="F477" s="7" t="n"/>
    </row>
    <row r="478">
      <c r="A478" s="12" t="n"/>
      <c r="B478" s="7" t="n"/>
      <c r="C478" s="7" t="n"/>
      <c r="D478" s="7" t="n"/>
      <c r="E478" s="10">
        <f>IF(OR(B478="",C478=""),"",IFERROR(C478*INDEX(INSUMOS!$K$5:$K$67,MATCH(B478,INSUMOS!$B$5:$B$67,0)),""))</f>
        <v/>
      </c>
      <c r="F478" s="7" t="n"/>
    </row>
    <row r="479">
      <c r="A479" s="12" t="n"/>
      <c r="B479" s="7" t="n"/>
      <c r="C479" s="7" t="n"/>
      <c r="D479" s="7" t="n"/>
      <c r="E479" s="10">
        <f>IF(OR(B479="",C479=""),"",IFERROR(C479*INDEX(INSUMOS!$K$5:$K$67,MATCH(B479,INSUMOS!$B$5:$B$67,0)),""))</f>
        <v/>
      </c>
      <c r="F479" s="7" t="n"/>
    </row>
    <row r="480">
      <c r="A480" s="12" t="n"/>
      <c r="B480" s="7" t="n"/>
      <c r="C480" s="7" t="n"/>
      <c r="D480" s="7" t="n"/>
      <c r="E480" s="10">
        <f>IF(OR(B480="",C480=""),"",IFERROR(C480*INDEX(INSUMOS!$K$5:$K$67,MATCH(B480,INSUMOS!$B$5:$B$67,0)),""))</f>
        <v/>
      </c>
      <c r="F480" s="7" t="n"/>
    </row>
    <row r="481">
      <c r="A481" s="12" t="n"/>
      <c r="B481" s="7" t="n"/>
      <c r="C481" s="7" t="n"/>
      <c r="D481" s="7" t="n"/>
      <c r="E481" s="10">
        <f>IF(OR(B481="",C481=""),"",IFERROR(C481*INDEX(INSUMOS!$K$5:$K$67,MATCH(B481,INSUMOS!$B$5:$B$67,0)),""))</f>
        <v/>
      </c>
      <c r="F481" s="7" t="n"/>
    </row>
    <row r="482">
      <c r="A482" s="12" t="n"/>
      <c r="B482" s="7" t="n"/>
      <c r="C482" s="7" t="n"/>
      <c r="D482" s="7" t="n"/>
      <c r="E482" s="10">
        <f>IF(OR(B482="",C482=""),"",IFERROR(C482*INDEX(INSUMOS!$K$5:$K$67,MATCH(B482,INSUMOS!$B$5:$B$67,0)),""))</f>
        <v/>
      </c>
      <c r="F482" s="7" t="n"/>
    </row>
    <row r="483">
      <c r="A483" s="12" t="n"/>
      <c r="B483" s="7" t="n"/>
      <c r="C483" s="7" t="n"/>
      <c r="D483" s="7" t="n"/>
      <c r="E483" s="10">
        <f>IF(OR(B483="",C483=""),"",IFERROR(C483*INDEX(INSUMOS!$K$5:$K$67,MATCH(B483,INSUMOS!$B$5:$B$67,0)),""))</f>
        <v/>
      </c>
      <c r="F483" s="7" t="n"/>
    </row>
    <row r="484">
      <c r="A484" s="12" t="n"/>
      <c r="B484" s="7" t="n"/>
      <c r="C484" s="7" t="n"/>
      <c r="D484" s="7" t="n"/>
      <c r="E484" s="10">
        <f>IF(OR(B484="",C484=""),"",IFERROR(C484*INDEX(INSUMOS!$K$5:$K$67,MATCH(B484,INSUMOS!$B$5:$B$67,0)),""))</f>
        <v/>
      </c>
      <c r="F484" s="7" t="n"/>
    </row>
    <row r="485">
      <c r="A485" s="12" t="n"/>
      <c r="B485" s="7" t="n"/>
      <c r="C485" s="7" t="n"/>
      <c r="D485" s="7" t="n"/>
      <c r="E485" s="10">
        <f>IF(OR(B485="",C485=""),"",IFERROR(C485*INDEX(INSUMOS!$K$5:$K$67,MATCH(B485,INSUMOS!$B$5:$B$67,0)),""))</f>
        <v/>
      </c>
      <c r="F485" s="7" t="n"/>
    </row>
    <row r="486">
      <c r="A486" s="12" t="n"/>
      <c r="B486" s="7" t="n"/>
      <c r="C486" s="7" t="n"/>
      <c r="D486" s="7" t="n"/>
      <c r="E486" s="10">
        <f>IF(OR(B486="",C486=""),"",IFERROR(C486*INDEX(INSUMOS!$K$5:$K$67,MATCH(B486,INSUMOS!$B$5:$B$67,0)),""))</f>
        <v/>
      </c>
      <c r="F486" s="7" t="n"/>
    </row>
    <row r="487">
      <c r="A487" s="12" t="n"/>
      <c r="B487" s="7" t="n"/>
      <c r="C487" s="7" t="n"/>
      <c r="D487" s="7" t="n"/>
      <c r="E487" s="10">
        <f>IF(OR(B487="",C487=""),"",IFERROR(C487*INDEX(INSUMOS!$K$5:$K$67,MATCH(B487,INSUMOS!$B$5:$B$67,0)),""))</f>
        <v/>
      </c>
      <c r="F487" s="7" t="n"/>
    </row>
    <row r="488">
      <c r="A488" s="12" t="n"/>
      <c r="B488" s="7" t="n"/>
      <c r="C488" s="7" t="n"/>
      <c r="D488" s="7" t="n"/>
      <c r="E488" s="10">
        <f>IF(OR(B488="",C488=""),"",IFERROR(C488*INDEX(INSUMOS!$K$5:$K$67,MATCH(B488,INSUMOS!$B$5:$B$67,0)),""))</f>
        <v/>
      </c>
      <c r="F488" s="7" t="n"/>
    </row>
    <row r="489">
      <c r="A489" s="12" t="n"/>
      <c r="B489" s="7" t="n"/>
      <c r="C489" s="7" t="n"/>
      <c r="D489" s="7" t="n"/>
      <c r="E489" s="10">
        <f>IF(OR(B489="",C489=""),"",IFERROR(C489*INDEX(INSUMOS!$K$5:$K$67,MATCH(B489,INSUMOS!$B$5:$B$67,0)),""))</f>
        <v/>
      </c>
      <c r="F489" s="7" t="n"/>
    </row>
    <row r="490">
      <c r="A490" s="12" t="n"/>
      <c r="B490" s="7" t="n"/>
      <c r="C490" s="7" t="n"/>
      <c r="D490" s="7" t="n"/>
      <c r="E490" s="10">
        <f>IF(OR(B490="",C490=""),"",IFERROR(C490*INDEX(INSUMOS!$K$5:$K$67,MATCH(B490,INSUMOS!$B$5:$B$67,0)),""))</f>
        <v/>
      </c>
      <c r="F490" s="7" t="n"/>
    </row>
    <row r="491">
      <c r="A491" s="12" t="n"/>
      <c r="B491" s="7" t="n"/>
      <c r="C491" s="7" t="n"/>
      <c r="D491" s="7" t="n"/>
      <c r="E491" s="10">
        <f>IF(OR(B491="",C491=""),"",IFERROR(C491*INDEX(INSUMOS!$K$5:$K$67,MATCH(B491,INSUMOS!$B$5:$B$67,0)),""))</f>
        <v/>
      </c>
      <c r="F491" s="7" t="n"/>
    </row>
    <row r="492">
      <c r="A492" s="12" t="n"/>
      <c r="B492" s="7" t="n"/>
      <c r="C492" s="7" t="n"/>
      <c r="D492" s="7" t="n"/>
      <c r="E492" s="10">
        <f>IF(OR(B492="",C492=""),"",IFERROR(C492*INDEX(INSUMOS!$K$5:$K$67,MATCH(B492,INSUMOS!$B$5:$B$67,0)),""))</f>
        <v/>
      </c>
      <c r="F492" s="7" t="n"/>
    </row>
    <row r="493">
      <c r="A493" s="12" t="n"/>
      <c r="B493" s="7" t="n"/>
      <c r="C493" s="7" t="n"/>
      <c r="D493" s="7" t="n"/>
      <c r="E493" s="10">
        <f>IF(OR(B493="",C493=""),"",IFERROR(C493*INDEX(INSUMOS!$K$5:$K$67,MATCH(B493,INSUMOS!$B$5:$B$67,0)),""))</f>
        <v/>
      </c>
      <c r="F493" s="7" t="n"/>
    </row>
    <row r="494">
      <c r="A494" s="12" t="n"/>
      <c r="B494" s="7" t="n"/>
      <c r="C494" s="7" t="n"/>
      <c r="D494" s="7" t="n"/>
      <c r="E494" s="10">
        <f>IF(OR(B494="",C494=""),"",IFERROR(C494*INDEX(INSUMOS!$K$5:$K$67,MATCH(B494,INSUMOS!$B$5:$B$67,0)),""))</f>
        <v/>
      </c>
      <c r="F494" s="7" t="n"/>
    </row>
    <row r="495">
      <c r="A495" s="12" t="n"/>
      <c r="B495" s="7" t="n"/>
      <c r="C495" s="7" t="n"/>
      <c r="D495" s="7" t="n"/>
      <c r="E495" s="10">
        <f>IF(OR(B495="",C495=""),"",IFERROR(C495*INDEX(INSUMOS!$K$5:$K$67,MATCH(B495,INSUMOS!$B$5:$B$67,0)),""))</f>
        <v/>
      </c>
      <c r="F495" s="7" t="n"/>
    </row>
    <row r="496">
      <c r="A496" s="12" t="n"/>
      <c r="B496" s="7" t="n"/>
      <c r="C496" s="7" t="n"/>
      <c r="D496" s="7" t="n"/>
      <c r="E496" s="10">
        <f>IF(OR(B496="",C496=""),"",IFERROR(C496*INDEX(INSUMOS!$K$5:$K$67,MATCH(B496,INSUMOS!$B$5:$B$67,0)),""))</f>
        <v/>
      </c>
      <c r="F496" s="7" t="n"/>
    </row>
    <row r="497">
      <c r="A497" s="12" t="n"/>
      <c r="B497" s="7" t="n"/>
      <c r="C497" s="7" t="n"/>
      <c r="D497" s="7" t="n"/>
      <c r="E497" s="10">
        <f>IF(OR(B497="",C497=""),"",IFERROR(C497*INDEX(INSUMOS!$K$5:$K$67,MATCH(B497,INSUMOS!$B$5:$B$67,0)),""))</f>
        <v/>
      </c>
      <c r="F497" s="7" t="n"/>
    </row>
    <row r="498">
      <c r="A498" s="12" t="n"/>
      <c r="B498" s="7" t="n"/>
      <c r="C498" s="7" t="n"/>
      <c r="D498" s="7" t="n"/>
      <c r="E498" s="10">
        <f>IF(OR(B498="",C498=""),"",IFERROR(C498*INDEX(INSUMOS!$K$5:$K$67,MATCH(B498,INSUMOS!$B$5:$B$67,0)),""))</f>
        <v/>
      </c>
      <c r="F498" s="7" t="n"/>
    </row>
    <row r="499">
      <c r="A499" s="12" t="n"/>
      <c r="B499" s="7" t="n"/>
      <c r="C499" s="7" t="n"/>
      <c r="D499" s="7" t="n"/>
      <c r="E499" s="10">
        <f>IF(OR(B499="",C499=""),"",IFERROR(C499*INDEX(INSUMOS!$K$5:$K$67,MATCH(B499,INSUMOS!$B$5:$B$67,0)),""))</f>
        <v/>
      </c>
      <c r="F499" s="7" t="n"/>
    </row>
    <row r="500">
      <c r="A500" s="12" t="n"/>
      <c r="B500" s="7" t="n"/>
      <c r="C500" s="7" t="n"/>
      <c r="D500" s="7" t="n"/>
      <c r="E500" s="10">
        <f>IF(OR(B500="",C500=""),"",IFERROR(C500*INDEX(INSUMOS!$K$5:$K$67,MATCH(B500,INSUMOS!$B$5:$B$67,0)),""))</f>
        <v/>
      </c>
      <c r="F500" s="7" t="n"/>
    </row>
    <row r="501">
      <c r="A501" s="12" t="n"/>
      <c r="B501" s="7" t="n"/>
      <c r="C501" s="7" t="n"/>
      <c r="D501" s="7" t="n"/>
      <c r="E501" s="10">
        <f>IF(OR(B501="",C501=""),"",IFERROR(C501*INDEX(INSUMOS!$K$5:$K$67,MATCH(B501,INSUMOS!$B$5:$B$67,0)),""))</f>
        <v/>
      </c>
      <c r="F501" s="7" t="n"/>
    </row>
    <row r="502">
      <c r="A502" s="12" t="n"/>
      <c r="B502" s="7" t="n"/>
      <c r="C502" s="7" t="n"/>
      <c r="D502" s="7" t="n"/>
      <c r="E502" s="10">
        <f>IF(OR(B502="",C502=""),"",IFERROR(C502*INDEX(INSUMOS!$K$5:$K$67,MATCH(B502,INSUMOS!$B$5:$B$67,0)),""))</f>
        <v/>
      </c>
      <c r="F502" s="7" t="n"/>
    </row>
    <row r="503">
      <c r="A503" s="12" t="n"/>
      <c r="B503" s="7" t="n"/>
      <c r="C503" s="7" t="n"/>
      <c r="D503" s="7" t="n"/>
      <c r="E503" s="10">
        <f>IF(OR(B503="",C503=""),"",IFERROR(C503*INDEX(INSUMOS!$K$5:$K$67,MATCH(B503,INSUMOS!$B$5:$B$67,0)),""))</f>
        <v/>
      </c>
      <c r="F503" s="7" t="n"/>
    </row>
    <row r="504">
      <c r="A504" s="12" t="n"/>
      <c r="B504" s="7" t="n"/>
      <c r="C504" s="7" t="n"/>
      <c r="D504" s="7" t="n"/>
      <c r="E504" s="10">
        <f>IF(OR(B504="",C504=""),"",IFERROR(C504*INDEX(INSUMOS!$K$5:$K$67,MATCH(B504,INSUMOS!$B$5:$B$67,0)),""))</f>
        <v/>
      </c>
      <c r="F504" s="7" t="n"/>
    </row>
  </sheetData>
  <dataValidations count="2">
    <dataValidation sqref="B5:B504" showDropDown="0" showInputMessage="0" showErrorMessage="0" allowBlank="1" type="list">
      <formula1>ListaInsumos</formula1>
    </dataValidation>
    <dataValidation sqref="D5:D504" showDropDown="0" showInputMessage="0" showErrorMessage="0" allowBlank="1" type="list">
      <formula1>"Error de impresión,Corte mal hecho,Se dañó,Se perdió,Vencido,Otro"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04"/>
  <sheetViews>
    <sheetView zoomScaleNormal="100" workbookViewId="0">
      <pane ySplit="4" topLeftCell="A5" activePane="bottomLeft" state="frozen"/>
      <selection pane="bottomLeft" activeCell="G9" sqref="G9"/>
    </sheetView>
  </sheetViews>
  <sheetFormatPr baseColWidth="10" defaultColWidth="8.7109375" defaultRowHeight="15"/>
  <cols>
    <col width="14" customWidth="1" min="1" max="1"/>
    <col width="40" customWidth="1" min="2" max="2"/>
    <col width="15" customWidth="1" min="3" max="3"/>
    <col width="45" customWidth="1" min="4" max="4"/>
  </cols>
  <sheetData>
    <row r="1" ht="27.75" customHeight="1">
      <c r="A1" s="14" t="inlineStr">
        <is>
          <t>🏭 PRODUCCIÓN - registro de productos fabricados</t>
        </is>
      </c>
    </row>
    <row r="2">
      <c r="A2" s="15" t="inlineStr">
        <is>
          <t>Cada vez que hacés productos, anotá cuántos. Los insumos se descuentan solos del stock según la receta.</t>
        </is>
      </c>
    </row>
    <row r="4" ht="31.5" customHeight="1">
      <c r="A4" s="4" t="inlineStr">
        <is>
          <t>Fecha</t>
        </is>
      </c>
      <c r="B4" s="4" t="inlineStr">
        <is>
          <t>Producto</t>
        </is>
      </c>
      <c r="C4" s="4" t="inlineStr">
        <is>
          <t>Cantidad
fabricada</t>
        </is>
      </c>
      <c r="D4" s="4" t="inlineStr">
        <is>
          <t>Notas</t>
        </is>
      </c>
    </row>
    <row r="5">
      <c r="A5" s="12" t="n"/>
      <c r="B5" s="7" t="n"/>
      <c r="C5" s="7" t="n"/>
      <c r="D5" s="7" t="n"/>
    </row>
    <row r="6">
      <c r="A6" s="12" t="n"/>
      <c r="B6" s="7" t="n"/>
      <c r="C6" s="7" t="n"/>
      <c r="D6" s="7" t="n"/>
    </row>
    <row r="7">
      <c r="A7" s="12" t="n"/>
      <c r="B7" s="7" t="n"/>
      <c r="C7" s="7" t="n"/>
      <c r="D7" s="7" t="n"/>
    </row>
    <row r="8">
      <c r="A8" s="12" t="n"/>
      <c r="B8" s="7" t="n"/>
      <c r="C8" s="7" t="n"/>
      <c r="D8" s="7" t="n"/>
    </row>
    <row r="9">
      <c r="A9" s="12" t="n"/>
      <c r="B9" s="7" t="n"/>
      <c r="C9" s="7" t="n"/>
      <c r="D9" s="7" t="n"/>
    </row>
    <row r="10">
      <c r="A10" s="12" t="n"/>
      <c r="B10" s="7" t="n"/>
      <c r="C10" s="7" t="n"/>
      <c r="D10" s="7" t="n"/>
    </row>
    <row r="11">
      <c r="A11" s="12" t="n"/>
      <c r="B11" s="7" t="n"/>
      <c r="C11" s="7" t="n"/>
      <c r="D11" s="7" t="n"/>
    </row>
    <row r="12">
      <c r="A12" s="12" t="n"/>
      <c r="B12" s="7" t="n"/>
      <c r="C12" s="7" t="n"/>
      <c r="D12" s="7" t="n"/>
    </row>
    <row r="13">
      <c r="A13" s="12" t="n"/>
      <c r="B13" s="7" t="n"/>
      <c r="C13" s="7" t="n"/>
      <c r="D13" s="7" t="n"/>
    </row>
    <row r="14">
      <c r="A14" s="12" t="n"/>
      <c r="B14" s="7" t="n"/>
      <c r="C14" s="7" t="n"/>
      <c r="D14" s="7" t="n"/>
    </row>
    <row r="15">
      <c r="A15" s="12" t="n"/>
      <c r="B15" s="7" t="n"/>
      <c r="C15" s="7" t="n"/>
      <c r="D15" s="7" t="n"/>
    </row>
    <row r="16">
      <c r="A16" s="12" t="n"/>
      <c r="B16" s="7" t="n"/>
      <c r="C16" s="7" t="n"/>
      <c r="D16" s="7" t="n"/>
    </row>
    <row r="17">
      <c r="A17" s="12" t="n"/>
      <c r="B17" s="7" t="n"/>
      <c r="C17" s="7" t="n"/>
      <c r="D17" s="7" t="n"/>
    </row>
    <row r="18">
      <c r="A18" s="12" t="n"/>
      <c r="B18" s="7" t="n"/>
      <c r="C18" s="7" t="n"/>
      <c r="D18" s="7" t="n"/>
    </row>
    <row r="19">
      <c r="A19" s="12" t="n"/>
      <c r="B19" s="7" t="n"/>
      <c r="C19" s="7" t="n"/>
      <c r="D19" s="7" t="n"/>
    </row>
    <row r="20">
      <c r="A20" s="12" t="n"/>
      <c r="B20" s="7" t="n"/>
      <c r="C20" s="7" t="n"/>
      <c r="D20" s="7" t="n"/>
    </row>
    <row r="21">
      <c r="A21" s="12" t="n"/>
      <c r="B21" s="7" t="n"/>
      <c r="C21" s="7" t="n"/>
      <c r="D21" s="7" t="n"/>
    </row>
    <row r="22">
      <c r="A22" s="12" t="n"/>
      <c r="B22" s="7" t="n"/>
      <c r="C22" s="7" t="n"/>
      <c r="D22" s="7" t="n"/>
    </row>
    <row r="23">
      <c r="A23" s="12" t="n"/>
      <c r="B23" s="7" t="n"/>
      <c r="C23" s="7" t="n"/>
      <c r="D23" s="7" t="n"/>
    </row>
    <row r="24">
      <c r="A24" s="12" t="n"/>
      <c r="B24" s="7" t="n"/>
      <c r="C24" s="7" t="n"/>
      <c r="D24" s="7" t="n"/>
    </row>
    <row r="25">
      <c r="A25" s="12" t="n"/>
      <c r="B25" s="7" t="n"/>
      <c r="C25" s="7" t="n"/>
      <c r="D25" s="7" t="n"/>
    </row>
    <row r="26">
      <c r="A26" s="12" t="n"/>
      <c r="B26" s="7" t="n"/>
      <c r="C26" s="7" t="n"/>
      <c r="D26" s="7" t="n"/>
    </row>
    <row r="27">
      <c r="A27" s="12" t="n"/>
      <c r="B27" s="7" t="n"/>
      <c r="C27" s="7" t="n"/>
      <c r="D27" s="7" t="n"/>
    </row>
    <row r="28">
      <c r="A28" s="12" t="n"/>
      <c r="B28" s="7" t="n"/>
      <c r="C28" s="7" t="n"/>
      <c r="D28" s="7" t="n"/>
    </row>
    <row r="29">
      <c r="A29" s="12" t="n"/>
      <c r="B29" s="7" t="n"/>
      <c r="C29" s="7" t="n"/>
      <c r="D29" s="7" t="n"/>
    </row>
    <row r="30">
      <c r="A30" s="12" t="n"/>
      <c r="B30" s="7" t="n"/>
      <c r="C30" s="7" t="n"/>
      <c r="D30" s="7" t="n"/>
    </row>
    <row r="31">
      <c r="A31" s="12" t="n"/>
      <c r="B31" s="7" t="n"/>
      <c r="C31" s="7" t="n"/>
      <c r="D31" s="7" t="n"/>
    </row>
    <row r="32">
      <c r="A32" s="12" t="n"/>
      <c r="B32" s="7" t="n"/>
      <c r="C32" s="7" t="n"/>
      <c r="D32" s="7" t="n"/>
    </row>
    <row r="33">
      <c r="A33" s="12" t="n"/>
      <c r="B33" s="7" t="n"/>
      <c r="C33" s="7" t="n"/>
      <c r="D33" s="7" t="n"/>
    </row>
    <row r="34">
      <c r="A34" s="12" t="n"/>
      <c r="B34" s="7" t="n"/>
      <c r="C34" s="7" t="n"/>
      <c r="D34" s="7" t="n"/>
    </row>
    <row r="35">
      <c r="A35" s="12" t="n"/>
      <c r="B35" s="7" t="n"/>
      <c r="C35" s="7" t="n"/>
      <c r="D35" s="7" t="n"/>
    </row>
    <row r="36">
      <c r="A36" s="12" t="n"/>
      <c r="B36" s="7" t="n"/>
      <c r="C36" s="7" t="n"/>
      <c r="D36" s="7" t="n"/>
    </row>
    <row r="37">
      <c r="A37" s="12" t="n"/>
      <c r="B37" s="7" t="n"/>
      <c r="C37" s="7" t="n"/>
      <c r="D37" s="7" t="n"/>
    </row>
    <row r="38">
      <c r="A38" s="12" t="n"/>
      <c r="B38" s="7" t="n"/>
      <c r="C38" s="7" t="n"/>
      <c r="D38" s="7" t="n"/>
    </row>
    <row r="39">
      <c r="A39" s="12" t="n"/>
      <c r="B39" s="7" t="n"/>
      <c r="C39" s="7" t="n"/>
      <c r="D39" s="7" t="n"/>
    </row>
    <row r="40">
      <c r="A40" s="12" t="n"/>
      <c r="B40" s="7" t="n"/>
      <c r="C40" s="7" t="n"/>
      <c r="D40" s="7" t="n"/>
    </row>
    <row r="41">
      <c r="A41" s="12" t="n"/>
      <c r="B41" s="7" t="n"/>
      <c r="C41" s="7" t="n"/>
      <c r="D41" s="7" t="n"/>
    </row>
    <row r="42">
      <c r="A42" s="12" t="n"/>
      <c r="B42" s="7" t="n"/>
      <c r="C42" s="7" t="n"/>
      <c r="D42" s="7" t="n"/>
    </row>
    <row r="43">
      <c r="A43" s="12" t="n"/>
      <c r="B43" s="7" t="n"/>
      <c r="C43" s="7" t="n"/>
      <c r="D43" s="7" t="n"/>
    </row>
    <row r="44">
      <c r="A44" s="12" t="n"/>
      <c r="B44" s="7" t="n"/>
      <c r="C44" s="7" t="n"/>
      <c r="D44" s="7" t="n"/>
    </row>
    <row r="45">
      <c r="A45" s="12" t="n"/>
      <c r="B45" s="7" t="n"/>
      <c r="C45" s="7" t="n"/>
      <c r="D45" s="7" t="n"/>
    </row>
    <row r="46">
      <c r="A46" s="12" t="n"/>
      <c r="B46" s="7" t="n"/>
      <c r="C46" s="7" t="n"/>
      <c r="D46" s="7" t="n"/>
    </row>
    <row r="47">
      <c r="A47" s="12" t="n"/>
      <c r="B47" s="7" t="n"/>
      <c r="C47" s="7" t="n"/>
      <c r="D47" s="7" t="n"/>
    </row>
    <row r="48">
      <c r="A48" s="12" t="n"/>
      <c r="B48" s="7" t="n"/>
      <c r="C48" s="7" t="n"/>
      <c r="D48" s="7" t="n"/>
    </row>
    <row r="49">
      <c r="A49" s="12" t="n"/>
      <c r="B49" s="7" t="n"/>
      <c r="C49" s="7" t="n"/>
      <c r="D49" s="7" t="n"/>
    </row>
    <row r="50">
      <c r="A50" s="12" t="n"/>
      <c r="B50" s="7" t="n"/>
      <c r="C50" s="7" t="n"/>
      <c r="D50" s="7" t="n"/>
    </row>
    <row r="51">
      <c r="A51" s="12" t="n"/>
      <c r="B51" s="7" t="n"/>
      <c r="C51" s="7" t="n"/>
      <c r="D51" s="7" t="n"/>
    </row>
    <row r="52">
      <c r="A52" s="12" t="n"/>
      <c r="B52" s="7" t="n"/>
      <c r="C52" s="7" t="n"/>
      <c r="D52" s="7" t="n"/>
    </row>
    <row r="53">
      <c r="A53" s="12" t="n"/>
      <c r="B53" s="7" t="n"/>
      <c r="C53" s="7" t="n"/>
      <c r="D53" s="7" t="n"/>
    </row>
    <row r="54">
      <c r="A54" s="12" t="n"/>
      <c r="B54" s="7" t="n"/>
      <c r="C54" s="7" t="n"/>
      <c r="D54" s="7" t="n"/>
    </row>
    <row r="55">
      <c r="A55" s="12" t="n"/>
      <c r="B55" s="7" t="n"/>
      <c r="C55" s="7" t="n"/>
      <c r="D55" s="7" t="n"/>
    </row>
    <row r="56">
      <c r="A56" s="12" t="n"/>
      <c r="B56" s="7" t="n"/>
      <c r="C56" s="7" t="n"/>
      <c r="D56" s="7" t="n"/>
    </row>
    <row r="57">
      <c r="A57" s="12" t="n"/>
      <c r="B57" s="7" t="n"/>
      <c r="C57" s="7" t="n"/>
      <c r="D57" s="7" t="n"/>
    </row>
    <row r="58">
      <c r="A58" s="12" t="n"/>
      <c r="B58" s="7" t="n"/>
      <c r="C58" s="7" t="n"/>
      <c r="D58" s="7" t="n"/>
    </row>
    <row r="59">
      <c r="A59" s="12" t="n"/>
      <c r="B59" s="7" t="n"/>
      <c r="C59" s="7" t="n"/>
      <c r="D59" s="7" t="n"/>
    </row>
    <row r="60">
      <c r="A60" s="12" t="n"/>
      <c r="B60" s="7" t="n"/>
      <c r="C60" s="7" t="n"/>
      <c r="D60" s="7" t="n"/>
    </row>
    <row r="61">
      <c r="A61" s="12" t="n"/>
      <c r="B61" s="7" t="n"/>
      <c r="C61" s="7" t="n"/>
      <c r="D61" s="7" t="n"/>
    </row>
    <row r="62">
      <c r="A62" s="12" t="n"/>
      <c r="B62" s="7" t="n"/>
      <c r="C62" s="7" t="n"/>
      <c r="D62" s="7" t="n"/>
    </row>
    <row r="63">
      <c r="A63" s="12" t="n"/>
      <c r="B63" s="7" t="n"/>
      <c r="C63" s="7" t="n"/>
      <c r="D63" s="7" t="n"/>
    </row>
    <row r="64">
      <c r="A64" s="12" t="n"/>
      <c r="B64" s="7" t="n"/>
      <c r="C64" s="7" t="n"/>
      <c r="D64" s="7" t="n"/>
    </row>
    <row r="65">
      <c r="A65" s="12" t="n"/>
      <c r="B65" s="7" t="n"/>
      <c r="C65" s="7" t="n"/>
      <c r="D65" s="7" t="n"/>
    </row>
    <row r="66">
      <c r="A66" s="12" t="n"/>
      <c r="B66" s="7" t="n"/>
      <c r="C66" s="7" t="n"/>
      <c r="D66" s="7" t="n"/>
    </row>
    <row r="67">
      <c r="A67" s="12" t="n"/>
      <c r="B67" s="7" t="n"/>
      <c r="C67" s="7" t="n"/>
      <c r="D67" s="7" t="n"/>
    </row>
    <row r="68">
      <c r="A68" s="12" t="n"/>
      <c r="B68" s="7" t="n"/>
      <c r="C68" s="7" t="n"/>
      <c r="D68" s="7" t="n"/>
    </row>
    <row r="69">
      <c r="A69" s="12" t="n"/>
      <c r="B69" s="7" t="n"/>
      <c r="C69" s="7" t="n"/>
      <c r="D69" s="7" t="n"/>
    </row>
    <row r="70">
      <c r="A70" s="12" t="n"/>
      <c r="B70" s="7" t="n"/>
      <c r="C70" s="7" t="n"/>
      <c r="D70" s="7" t="n"/>
    </row>
    <row r="71">
      <c r="A71" s="12" t="n"/>
      <c r="B71" s="7" t="n"/>
      <c r="C71" s="7" t="n"/>
      <c r="D71" s="7" t="n"/>
    </row>
    <row r="72">
      <c r="A72" s="12" t="n"/>
      <c r="B72" s="7" t="n"/>
      <c r="C72" s="7" t="n"/>
      <c r="D72" s="7" t="n"/>
    </row>
    <row r="73">
      <c r="A73" s="12" t="n"/>
      <c r="B73" s="7" t="n"/>
      <c r="C73" s="7" t="n"/>
      <c r="D73" s="7" t="n"/>
    </row>
    <row r="74">
      <c r="A74" s="12" t="n"/>
      <c r="B74" s="7" t="n"/>
      <c r="C74" s="7" t="n"/>
      <c r="D74" s="7" t="n"/>
    </row>
    <row r="75">
      <c r="A75" s="12" t="n"/>
      <c r="B75" s="7" t="n"/>
      <c r="C75" s="7" t="n"/>
      <c r="D75" s="7" t="n"/>
    </row>
    <row r="76">
      <c r="A76" s="12" t="n"/>
      <c r="B76" s="7" t="n"/>
      <c r="C76" s="7" t="n"/>
      <c r="D76" s="7" t="n"/>
    </row>
    <row r="77">
      <c r="A77" s="12" t="n"/>
      <c r="B77" s="7" t="n"/>
      <c r="C77" s="7" t="n"/>
      <c r="D77" s="7" t="n"/>
    </row>
    <row r="78">
      <c r="A78" s="12" t="n"/>
      <c r="B78" s="7" t="n"/>
      <c r="C78" s="7" t="n"/>
      <c r="D78" s="7" t="n"/>
    </row>
    <row r="79">
      <c r="A79" s="12" t="n"/>
      <c r="B79" s="7" t="n"/>
      <c r="C79" s="7" t="n"/>
      <c r="D79" s="7" t="n"/>
    </row>
    <row r="80">
      <c r="A80" s="12" t="n"/>
      <c r="B80" s="7" t="n"/>
      <c r="C80" s="7" t="n"/>
      <c r="D80" s="7" t="n"/>
    </row>
    <row r="81">
      <c r="A81" s="12" t="n"/>
      <c r="B81" s="7" t="n"/>
      <c r="C81" s="7" t="n"/>
      <c r="D81" s="7" t="n"/>
    </row>
    <row r="82">
      <c r="A82" s="12" t="n"/>
      <c r="B82" s="7" t="n"/>
      <c r="C82" s="7" t="n"/>
      <c r="D82" s="7" t="n"/>
    </row>
    <row r="83">
      <c r="A83" s="12" t="n"/>
      <c r="B83" s="7" t="n"/>
      <c r="C83" s="7" t="n"/>
      <c r="D83" s="7" t="n"/>
    </row>
    <row r="84">
      <c r="A84" s="12" t="n"/>
      <c r="B84" s="7" t="n"/>
      <c r="C84" s="7" t="n"/>
      <c r="D84" s="7" t="n"/>
    </row>
    <row r="85">
      <c r="A85" s="12" t="n"/>
      <c r="B85" s="7" t="n"/>
      <c r="C85" s="7" t="n"/>
      <c r="D85" s="7" t="n"/>
    </row>
    <row r="86">
      <c r="A86" s="12" t="n"/>
      <c r="B86" s="7" t="n"/>
      <c r="C86" s="7" t="n"/>
      <c r="D86" s="7" t="n"/>
    </row>
    <row r="87">
      <c r="A87" s="12" t="n"/>
      <c r="B87" s="7" t="n"/>
      <c r="C87" s="7" t="n"/>
      <c r="D87" s="7" t="n"/>
    </row>
    <row r="88">
      <c r="A88" s="12" t="n"/>
      <c r="B88" s="7" t="n"/>
      <c r="C88" s="7" t="n"/>
      <c r="D88" s="7" t="n"/>
    </row>
    <row r="89">
      <c r="A89" s="12" t="n"/>
      <c r="B89" s="7" t="n"/>
      <c r="C89" s="7" t="n"/>
      <c r="D89" s="7" t="n"/>
    </row>
    <row r="90">
      <c r="A90" s="12" t="n"/>
      <c r="B90" s="7" t="n"/>
      <c r="C90" s="7" t="n"/>
      <c r="D90" s="7" t="n"/>
    </row>
    <row r="91">
      <c r="A91" s="12" t="n"/>
      <c r="B91" s="7" t="n"/>
      <c r="C91" s="7" t="n"/>
      <c r="D91" s="7" t="n"/>
    </row>
    <row r="92">
      <c r="A92" s="12" t="n"/>
      <c r="B92" s="7" t="n"/>
      <c r="C92" s="7" t="n"/>
      <c r="D92" s="7" t="n"/>
    </row>
    <row r="93">
      <c r="A93" s="12" t="n"/>
      <c r="B93" s="7" t="n"/>
      <c r="C93" s="7" t="n"/>
      <c r="D93" s="7" t="n"/>
    </row>
    <row r="94">
      <c r="A94" s="12" t="n"/>
      <c r="B94" s="7" t="n"/>
      <c r="C94" s="7" t="n"/>
      <c r="D94" s="7" t="n"/>
    </row>
    <row r="95">
      <c r="A95" s="12" t="n"/>
      <c r="B95" s="7" t="n"/>
      <c r="C95" s="7" t="n"/>
      <c r="D95" s="7" t="n"/>
    </row>
    <row r="96">
      <c r="A96" s="12" t="n"/>
      <c r="B96" s="7" t="n"/>
      <c r="C96" s="7" t="n"/>
      <c r="D96" s="7" t="n"/>
    </row>
    <row r="97">
      <c r="A97" s="12" t="n"/>
      <c r="B97" s="7" t="n"/>
      <c r="C97" s="7" t="n"/>
      <c r="D97" s="7" t="n"/>
    </row>
    <row r="98">
      <c r="A98" s="12" t="n"/>
      <c r="B98" s="7" t="n"/>
      <c r="C98" s="7" t="n"/>
      <c r="D98" s="7" t="n"/>
    </row>
    <row r="99">
      <c r="A99" s="12" t="n"/>
      <c r="B99" s="7" t="n"/>
      <c r="C99" s="7" t="n"/>
      <c r="D99" s="7" t="n"/>
    </row>
    <row r="100">
      <c r="A100" s="12" t="n"/>
      <c r="B100" s="7" t="n"/>
      <c r="C100" s="7" t="n"/>
      <c r="D100" s="7" t="n"/>
    </row>
    <row r="101">
      <c r="A101" s="12" t="n"/>
      <c r="B101" s="7" t="n"/>
      <c r="C101" s="7" t="n"/>
      <c r="D101" s="7" t="n"/>
    </row>
    <row r="102">
      <c r="A102" s="12" t="n"/>
      <c r="B102" s="7" t="n"/>
      <c r="C102" s="7" t="n"/>
      <c r="D102" s="7" t="n"/>
    </row>
    <row r="103">
      <c r="A103" s="12" t="n"/>
      <c r="B103" s="7" t="n"/>
      <c r="C103" s="7" t="n"/>
      <c r="D103" s="7" t="n"/>
    </row>
    <row r="104">
      <c r="A104" s="12" t="n"/>
      <c r="B104" s="7" t="n"/>
      <c r="C104" s="7" t="n"/>
      <c r="D104" s="7" t="n"/>
    </row>
    <row r="105">
      <c r="A105" s="12" t="n"/>
      <c r="B105" s="7" t="n"/>
      <c r="C105" s="7" t="n"/>
      <c r="D105" s="7" t="n"/>
    </row>
    <row r="106">
      <c r="A106" s="12" t="n"/>
      <c r="B106" s="7" t="n"/>
      <c r="C106" s="7" t="n"/>
      <c r="D106" s="7" t="n"/>
    </row>
    <row r="107">
      <c r="A107" s="12" t="n"/>
      <c r="B107" s="7" t="n"/>
      <c r="C107" s="7" t="n"/>
      <c r="D107" s="7" t="n"/>
    </row>
    <row r="108">
      <c r="A108" s="12" t="n"/>
      <c r="B108" s="7" t="n"/>
      <c r="C108" s="7" t="n"/>
      <c r="D108" s="7" t="n"/>
    </row>
    <row r="109">
      <c r="A109" s="12" t="n"/>
      <c r="B109" s="7" t="n"/>
      <c r="C109" s="7" t="n"/>
      <c r="D109" s="7" t="n"/>
    </row>
    <row r="110">
      <c r="A110" s="12" t="n"/>
      <c r="B110" s="7" t="n"/>
      <c r="C110" s="7" t="n"/>
      <c r="D110" s="7" t="n"/>
    </row>
    <row r="111">
      <c r="A111" s="12" t="n"/>
      <c r="B111" s="7" t="n"/>
      <c r="C111" s="7" t="n"/>
      <c r="D111" s="7" t="n"/>
    </row>
    <row r="112">
      <c r="A112" s="12" t="n"/>
      <c r="B112" s="7" t="n"/>
      <c r="C112" s="7" t="n"/>
      <c r="D112" s="7" t="n"/>
    </row>
    <row r="113">
      <c r="A113" s="12" t="n"/>
      <c r="B113" s="7" t="n"/>
      <c r="C113" s="7" t="n"/>
      <c r="D113" s="7" t="n"/>
    </row>
    <row r="114">
      <c r="A114" s="12" t="n"/>
      <c r="B114" s="7" t="n"/>
      <c r="C114" s="7" t="n"/>
      <c r="D114" s="7" t="n"/>
    </row>
    <row r="115">
      <c r="A115" s="12" t="n"/>
      <c r="B115" s="7" t="n"/>
      <c r="C115" s="7" t="n"/>
      <c r="D115" s="7" t="n"/>
    </row>
    <row r="116">
      <c r="A116" s="12" t="n"/>
      <c r="B116" s="7" t="n"/>
      <c r="C116" s="7" t="n"/>
      <c r="D116" s="7" t="n"/>
    </row>
    <row r="117">
      <c r="A117" s="12" t="n"/>
      <c r="B117" s="7" t="n"/>
      <c r="C117" s="7" t="n"/>
      <c r="D117" s="7" t="n"/>
    </row>
    <row r="118">
      <c r="A118" s="12" t="n"/>
      <c r="B118" s="7" t="n"/>
      <c r="C118" s="7" t="n"/>
      <c r="D118" s="7" t="n"/>
    </row>
    <row r="119">
      <c r="A119" s="12" t="n"/>
      <c r="B119" s="7" t="n"/>
      <c r="C119" s="7" t="n"/>
      <c r="D119" s="7" t="n"/>
    </row>
    <row r="120">
      <c r="A120" s="12" t="n"/>
      <c r="B120" s="7" t="n"/>
      <c r="C120" s="7" t="n"/>
      <c r="D120" s="7" t="n"/>
    </row>
    <row r="121">
      <c r="A121" s="12" t="n"/>
      <c r="B121" s="7" t="n"/>
      <c r="C121" s="7" t="n"/>
      <c r="D121" s="7" t="n"/>
    </row>
    <row r="122">
      <c r="A122" s="12" t="n"/>
      <c r="B122" s="7" t="n"/>
      <c r="C122" s="7" t="n"/>
      <c r="D122" s="7" t="n"/>
    </row>
    <row r="123">
      <c r="A123" s="12" t="n"/>
      <c r="B123" s="7" t="n"/>
      <c r="C123" s="7" t="n"/>
      <c r="D123" s="7" t="n"/>
    </row>
    <row r="124">
      <c r="A124" s="12" t="n"/>
      <c r="B124" s="7" t="n"/>
      <c r="C124" s="7" t="n"/>
      <c r="D124" s="7" t="n"/>
    </row>
    <row r="125">
      <c r="A125" s="12" t="n"/>
      <c r="B125" s="7" t="n"/>
      <c r="C125" s="7" t="n"/>
      <c r="D125" s="7" t="n"/>
    </row>
    <row r="126">
      <c r="A126" s="12" t="n"/>
      <c r="B126" s="7" t="n"/>
      <c r="C126" s="7" t="n"/>
      <c r="D126" s="7" t="n"/>
    </row>
    <row r="127">
      <c r="A127" s="12" t="n"/>
      <c r="B127" s="7" t="n"/>
      <c r="C127" s="7" t="n"/>
      <c r="D127" s="7" t="n"/>
    </row>
    <row r="128">
      <c r="A128" s="12" t="n"/>
      <c r="B128" s="7" t="n"/>
      <c r="C128" s="7" t="n"/>
      <c r="D128" s="7" t="n"/>
    </row>
    <row r="129">
      <c r="A129" s="12" t="n"/>
      <c r="B129" s="7" t="n"/>
      <c r="C129" s="7" t="n"/>
      <c r="D129" s="7" t="n"/>
    </row>
    <row r="130">
      <c r="A130" s="12" t="n"/>
      <c r="B130" s="7" t="n"/>
      <c r="C130" s="7" t="n"/>
      <c r="D130" s="7" t="n"/>
    </row>
    <row r="131">
      <c r="A131" s="12" t="n"/>
      <c r="B131" s="7" t="n"/>
      <c r="C131" s="7" t="n"/>
      <c r="D131" s="7" t="n"/>
    </row>
    <row r="132">
      <c r="A132" s="12" t="n"/>
      <c r="B132" s="7" t="n"/>
      <c r="C132" s="7" t="n"/>
      <c r="D132" s="7" t="n"/>
    </row>
    <row r="133">
      <c r="A133" s="12" t="n"/>
      <c r="B133" s="7" t="n"/>
      <c r="C133" s="7" t="n"/>
      <c r="D133" s="7" t="n"/>
    </row>
    <row r="134">
      <c r="A134" s="12" t="n"/>
      <c r="B134" s="7" t="n"/>
      <c r="C134" s="7" t="n"/>
      <c r="D134" s="7" t="n"/>
    </row>
    <row r="135">
      <c r="A135" s="12" t="n"/>
      <c r="B135" s="7" t="n"/>
      <c r="C135" s="7" t="n"/>
      <c r="D135" s="7" t="n"/>
    </row>
    <row r="136">
      <c r="A136" s="12" t="n"/>
      <c r="B136" s="7" t="n"/>
      <c r="C136" s="7" t="n"/>
      <c r="D136" s="7" t="n"/>
    </row>
    <row r="137">
      <c r="A137" s="12" t="n"/>
      <c r="B137" s="7" t="n"/>
      <c r="C137" s="7" t="n"/>
      <c r="D137" s="7" t="n"/>
    </row>
    <row r="138">
      <c r="A138" s="12" t="n"/>
      <c r="B138" s="7" t="n"/>
      <c r="C138" s="7" t="n"/>
      <c r="D138" s="7" t="n"/>
    </row>
    <row r="139">
      <c r="A139" s="12" t="n"/>
      <c r="B139" s="7" t="n"/>
      <c r="C139" s="7" t="n"/>
      <c r="D139" s="7" t="n"/>
    </row>
    <row r="140">
      <c r="A140" s="12" t="n"/>
      <c r="B140" s="7" t="n"/>
      <c r="C140" s="7" t="n"/>
      <c r="D140" s="7" t="n"/>
    </row>
    <row r="141">
      <c r="A141" s="12" t="n"/>
      <c r="B141" s="7" t="n"/>
      <c r="C141" s="7" t="n"/>
      <c r="D141" s="7" t="n"/>
    </row>
    <row r="142">
      <c r="A142" s="12" t="n"/>
      <c r="B142" s="7" t="n"/>
      <c r="C142" s="7" t="n"/>
      <c r="D142" s="7" t="n"/>
    </row>
    <row r="143">
      <c r="A143" s="12" t="n"/>
      <c r="B143" s="7" t="n"/>
      <c r="C143" s="7" t="n"/>
      <c r="D143" s="7" t="n"/>
    </row>
    <row r="144">
      <c r="A144" s="12" t="n"/>
      <c r="B144" s="7" t="n"/>
      <c r="C144" s="7" t="n"/>
      <c r="D144" s="7" t="n"/>
    </row>
    <row r="145">
      <c r="A145" s="12" t="n"/>
      <c r="B145" s="7" t="n"/>
      <c r="C145" s="7" t="n"/>
      <c r="D145" s="7" t="n"/>
    </row>
    <row r="146">
      <c r="A146" s="12" t="n"/>
      <c r="B146" s="7" t="n"/>
      <c r="C146" s="7" t="n"/>
      <c r="D146" s="7" t="n"/>
    </row>
    <row r="147">
      <c r="A147" s="12" t="n"/>
      <c r="B147" s="7" t="n"/>
      <c r="C147" s="7" t="n"/>
      <c r="D147" s="7" t="n"/>
    </row>
    <row r="148">
      <c r="A148" s="12" t="n"/>
      <c r="B148" s="7" t="n"/>
      <c r="C148" s="7" t="n"/>
      <c r="D148" s="7" t="n"/>
    </row>
    <row r="149">
      <c r="A149" s="12" t="n"/>
      <c r="B149" s="7" t="n"/>
      <c r="C149" s="7" t="n"/>
      <c r="D149" s="7" t="n"/>
    </row>
    <row r="150">
      <c r="A150" s="12" t="n"/>
      <c r="B150" s="7" t="n"/>
      <c r="C150" s="7" t="n"/>
      <c r="D150" s="7" t="n"/>
    </row>
    <row r="151">
      <c r="A151" s="12" t="n"/>
      <c r="B151" s="7" t="n"/>
      <c r="C151" s="7" t="n"/>
      <c r="D151" s="7" t="n"/>
    </row>
    <row r="152">
      <c r="A152" s="12" t="n"/>
      <c r="B152" s="7" t="n"/>
      <c r="C152" s="7" t="n"/>
      <c r="D152" s="7" t="n"/>
    </row>
    <row r="153">
      <c r="A153" s="12" t="n"/>
      <c r="B153" s="7" t="n"/>
      <c r="C153" s="7" t="n"/>
      <c r="D153" s="7" t="n"/>
    </row>
    <row r="154">
      <c r="A154" s="12" t="n"/>
      <c r="B154" s="7" t="n"/>
      <c r="C154" s="7" t="n"/>
      <c r="D154" s="7" t="n"/>
    </row>
    <row r="155">
      <c r="A155" s="12" t="n"/>
      <c r="B155" s="7" t="n"/>
      <c r="C155" s="7" t="n"/>
      <c r="D155" s="7" t="n"/>
    </row>
    <row r="156">
      <c r="A156" s="12" t="n"/>
      <c r="B156" s="7" t="n"/>
      <c r="C156" s="7" t="n"/>
      <c r="D156" s="7" t="n"/>
    </row>
    <row r="157">
      <c r="A157" s="12" t="n"/>
      <c r="B157" s="7" t="n"/>
      <c r="C157" s="7" t="n"/>
      <c r="D157" s="7" t="n"/>
    </row>
    <row r="158">
      <c r="A158" s="12" t="n"/>
      <c r="B158" s="7" t="n"/>
      <c r="C158" s="7" t="n"/>
      <c r="D158" s="7" t="n"/>
    </row>
    <row r="159">
      <c r="A159" s="12" t="n"/>
      <c r="B159" s="7" t="n"/>
      <c r="C159" s="7" t="n"/>
      <c r="D159" s="7" t="n"/>
    </row>
    <row r="160">
      <c r="A160" s="12" t="n"/>
      <c r="B160" s="7" t="n"/>
      <c r="C160" s="7" t="n"/>
      <c r="D160" s="7" t="n"/>
    </row>
    <row r="161">
      <c r="A161" s="12" t="n"/>
      <c r="B161" s="7" t="n"/>
      <c r="C161" s="7" t="n"/>
      <c r="D161" s="7" t="n"/>
    </row>
    <row r="162">
      <c r="A162" s="12" t="n"/>
      <c r="B162" s="7" t="n"/>
      <c r="C162" s="7" t="n"/>
      <c r="D162" s="7" t="n"/>
    </row>
    <row r="163">
      <c r="A163" s="12" t="n"/>
      <c r="B163" s="7" t="n"/>
      <c r="C163" s="7" t="n"/>
      <c r="D163" s="7" t="n"/>
    </row>
    <row r="164">
      <c r="A164" s="12" t="n"/>
      <c r="B164" s="7" t="n"/>
      <c r="C164" s="7" t="n"/>
      <c r="D164" s="7" t="n"/>
    </row>
    <row r="165">
      <c r="A165" s="12" t="n"/>
      <c r="B165" s="7" t="n"/>
      <c r="C165" s="7" t="n"/>
      <c r="D165" s="7" t="n"/>
    </row>
    <row r="166">
      <c r="A166" s="12" t="n"/>
      <c r="B166" s="7" t="n"/>
      <c r="C166" s="7" t="n"/>
      <c r="D166" s="7" t="n"/>
    </row>
    <row r="167">
      <c r="A167" s="12" t="n"/>
      <c r="B167" s="7" t="n"/>
      <c r="C167" s="7" t="n"/>
      <c r="D167" s="7" t="n"/>
    </row>
    <row r="168">
      <c r="A168" s="12" t="n"/>
      <c r="B168" s="7" t="n"/>
      <c r="C168" s="7" t="n"/>
      <c r="D168" s="7" t="n"/>
    </row>
    <row r="169">
      <c r="A169" s="12" t="n"/>
      <c r="B169" s="7" t="n"/>
      <c r="C169" s="7" t="n"/>
      <c r="D169" s="7" t="n"/>
    </row>
    <row r="170">
      <c r="A170" s="12" t="n"/>
      <c r="B170" s="7" t="n"/>
      <c r="C170" s="7" t="n"/>
      <c r="D170" s="7" t="n"/>
    </row>
    <row r="171">
      <c r="A171" s="12" t="n"/>
      <c r="B171" s="7" t="n"/>
      <c r="C171" s="7" t="n"/>
      <c r="D171" s="7" t="n"/>
    </row>
    <row r="172">
      <c r="A172" s="12" t="n"/>
      <c r="B172" s="7" t="n"/>
      <c r="C172" s="7" t="n"/>
      <c r="D172" s="7" t="n"/>
    </row>
    <row r="173">
      <c r="A173" s="12" t="n"/>
      <c r="B173" s="7" t="n"/>
      <c r="C173" s="7" t="n"/>
      <c r="D173" s="7" t="n"/>
    </row>
    <row r="174">
      <c r="A174" s="12" t="n"/>
      <c r="B174" s="7" t="n"/>
      <c r="C174" s="7" t="n"/>
      <c r="D174" s="7" t="n"/>
    </row>
    <row r="175">
      <c r="A175" s="12" t="n"/>
      <c r="B175" s="7" t="n"/>
      <c r="C175" s="7" t="n"/>
      <c r="D175" s="7" t="n"/>
    </row>
    <row r="176">
      <c r="A176" s="12" t="n"/>
      <c r="B176" s="7" t="n"/>
      <c r="C176" s="7" t="n"/>
      <c r="D176" s="7" t="n"/>
    </row>
    <row r="177">
      <c r="A177" s="12" t="n"/>
      <c r="B177" s="7" t="n"/>
      <c r="C177" s="7" t="n"/>
      <c r="D177" s="7" t="n"/>
    </row>
    <row r="178">
      <c r="A178" s="12" t="n"/>
      <c r="B178" s="7" t="n"/>
      <c r="C178" s="7" t="n"/>
      <c r="D178" s="7" t="n"/>
    </row>
    <row r="179">
      <c r="A179" s="12" t="n"/>
      <c r="B179" s="7" t="n"/>
      <c r="C179" s="7" t="n"/>
      <c r="D179" s="7" t="n"/>
    </row>
    <row r="180">
      <c r="A180" s="12" t="n"/>
      <c r="B180" s="7" t="n"/>
      <c r="C180" s="7" t="n"/>
      <c r="D180" s="7" t="n"/>
    </row>
    <row r="181">
      <c r="A181" s="12" t="n"/>
      <c r="B181" s="7" t="n"/>
      <c r="C181" s="7" t="n"/>
      <c r="D181" s="7" t="n"/>
    </row>
    <row r="182">
      <c r="A182" s="12" t="n"/>
      <c r="B182" s="7" t="n"/>
      <c r="C182" s="7" t="n"/>
      <c r="D182" s="7" t="n"/>
    </row>
    <row r="183">
      <c r="A183" s="12" t="n"/>
      <c r="B183" s="7" t="n"/>
      <c r="C183" s="7" t="n"/>
      <c r="D183" s="7" t="n"/>
    </row>
    <row r="184">
      <c r="A184" s="12" t="n"/>
      <c r="B184" s="7" t="n"/>
      <c r="C184" s="7" t="n"/>
      <c r="D184" s="7" t="n"/>
    </row>
    <row r="185">
      <c r="A185" s="12" t="n"/>
      <c r="B185" s="7" t="n"/>
      <c r="C185" s="7" t="n"/>
      <c r="D185" s="7" t="n"/>
    </row>
    <row r="186">
      <c r="A186" s="12" t="n"/>
      <c r="B186" s="7" t="n"/>
      <c r="C186" s="7" t="n"/>
      <c r="D186" s="7" t="n"/>
    </row>
    <row r="187">
      <c r="A187" s="12" t="n"/>
      <c r="B187" s="7" t="n"/>
      <c r="C187" s="7" t="n"/>
      <c r="D187" s="7" t="n"/>
    </row>
    <row r="188">
      <c r="A188" s="12" t="n"/>
      <c r="B188" s="7" t="n"/>
      <c r="C188" s="7" t="n"/>
      <c r="D188" s="7" t="n"/>
    </row>
    <row r="189">
      <c r="A189" s="12" t="n"/>
      <c r="B189" s="7" t="n"/>
      <c r="C189" s="7" t="n"/>
      <c r="D189" s="7" t="n"/>
    </row>
    <row r="190">
      <c r="A190" s="12" t="n"/>
      <c r="B190" s="7" t="n"/>
      <c r="C190" s="7" t="n"/>
      <c r="D190" s="7" t="n"/>
    </row>
    <row r="191">
      <c r="A191" s="12" t="n"/>
      <c r="B191" s="7" t="n"/>
      <c r="C191" s="7" t="n"/>
      <c r="D191" s="7" t="n"/>
    </row>
    <row r="192">
      <c r="A192" s="12" t="n"/>
      <c r="B192" s="7" t="n"/>
      <c r="C192" s="7" t="n"/>
      <c r="D192" s="7" t="n"/>
    </row>
    <row r="193">
      <c r="A193" s="12" t="n"/>
      <c r="B193" s="7" t="n"/>
      <c r="C193" s="7" t="n"/>
      <c r="D193" s="7" t="n"/>
    </row>
    <row r="194">
      <c r="A194" s="12" t="n"/>
      <c r="B194" s="7" t="n"/>
      <c r="C194" s="7" t="n"/>
      <c r="D194" s="7" t="n"/>
    </row>
    <row r="195">
      <c r="A195" s="12" t="n"/>
      <c r="B195" s="7" t="n"/>
      <c r="C195" s="7" t="n"/>
      <c r="D195" s="7" t="n"/>
    </row>
    <row r="196">
      <c r="A196" s="12" t="n"/>
      <c r="B196" s="7" t="n"/>
      <c r="C196" s="7" t="n"/>
      <c r="D196" s="7" t="n"/>
    </row>
    <row r="197">
      <c r="A197" s="12" t="n"/>
      <c r="B197" s="7" t="n"/>
      <c r="C197" s="7" t="n"/>
      <c r="D197" s="7" t="n"/>
    </row>
    <row r="198">
      <c r="A198" s="12" t="n"/>
      <c r="B198" s="7" t="n"/>
      <c r="C198" s="7" t="n"/>
      <c r="D198" s="7" t="n"/>
    </row>
    <row r="199">
      <c r="A199" s="12" t="n"/>
      <c r="B199" s="7" t="n"/>
      <c r="C199" s="7" t="n"/>
      <c r="D199" s="7" t="n"/>
    </row>
    <row r="200">
      <c r="A200" s="12" t="n"/>
      <c r="B200" s="7" t="n"/>
      <c r="C200" s="7" t="n"/>
      <c r="D200" s="7" t="n"/>
    </row>
    <row r="201">
      <c r="A201" s="12" t="n"/>
      <c r="B201" s="7" t="n"/>
      <c r="C201" s="7" t="n"/>
      <c r="D201" s="7" t="n"/>
    </row>
    <row r="202">
      <c r="A202" s="12" t="n"/>
      <c r="B202" s="7" t="n"/>
      <c r="C202" s="7" t="n"/>
      <c r="D202" s="7" t="n"/>
    </row>
    <row r="203">
      <c r="A203" s="12" t="n"/>
      <c r="B203" s="7" t="n"/>
      <c r="C203" s="7" t="n"/>
      <c r="D203" s="7" t="n"/>
    </row>
    <row r="204">
      <c r="A204" s="12" t="n"/>
      <c r="B204" s="7" t="n"/>
      <c r="C204" s="7" t="n"/>
      <c r="D204" s="7" t="n"/>
    </row>
    <row r="205">
      <c r="A205" s="12" t="n"/>
      <c r="B205" s="7" t="n"/>
      <c r="C205" s="7" t="n"/>
      <c r="D205" s="7" t="n"/>
    </row>
    <row r="206">
      <c r="A206" s="12" t="n"/>
      <c r="B206" s="7" t="n"/>
      <c r="C206" s="7" t="n"/>
      <c r="D206" s="7" t="n"/>
    </row>
    <row r="207">
      <c r="A207" s="12" t="n"/>
      <c r="B207" s="7" t="n"/>
      <c r="C207" s="7" t="n"/>
      <c r="D207" s="7" t="n"/>
    </row>
    <row r="208">
      <c r="A208" s="12" t="n"/>
      <c r="B208" s="7" t="n"/>
      <c r="C208" s="7" t="n"/>
      <c r="D208" s="7" t="n"/>
    </row>
    <row r="209">
      <c r="A209" s="12" t="n"/>
      <c r="B209" s="7" t="n"/>
      <c r="C209" s="7" t="n"/>
      <c r="D209" s="7" t="n"/>
    </row>
    <row r="210">
      <c r="A210" s="12" t="n"/>
      <c r="B210" s="7" t="n"/>
      <c r="C210" s="7" t="n"/>
      <c r="D210" s="7" t="n"/>
    </row>
    <row r="211">
      <c r="A211" s="12" t="n"/>
      <c r="B211" s="7" t="n"/>
      <c r="C211" s="7" t="n"/>
      <c r="D211" s="7" t="n"/>
    </row>
    <row r="212">
      <c r="A212" s="12" t="n"/>
      <c r="B212" s="7" t="n"/>
      <c r="C212" s="7" t="n"/>
      <c r="D212" s="7" t="n"/>
    </row>
    <row r="213">
      <c r="A213" s="12" t="n"/>
      <c r="B213" s="7" t="n"/>
      <c r="C213" s="7" t="n"/>
      <c r="D213" s="7" t="n"/>
    </row>
    <row r="214">
      <c r="A214" s="12" t="n"/>
      <c r="B214" s="7" t="n"/>
      <c r="C214" s="7" t="n"/>
      <c r="D214" s="7" t="n"/>
    </row>
    <row r="215">
      <c r="A215" s="12" t="n"/>
      <c r="B215" s="7" t="n"/>
      <c r="C215" s="7" t="n"/>
      <c r="D215" s="7" t="n"/>
    </row>
    <row r="216">
      <c r="A216" s="12" t="n"/>
      <c r="B216" s="7" t="n"/>
      <c r="C216" s="7" t="n"/>
      <c r="D216" s="7" t="n"/>
    </row>
    <row r="217">
      <c r="A217" s="12" t="n"/>
      <c r="B217" s="7" t="n"/>
      <c r="C217" s="7" t="n"/>
      <c r="D217" s="7" t="n"/>
    </row>
    <row r="218">
      <c r="A218" s="12" t="n"/>
      <c r="B218" s="7" t="n"/>
      <c r="C218" s="7" t="n"/>
      <c r="D218" s="7" t="n"/>
    </row>
    <row r="219">
      <c r="A219" s="12" t="n"/>
      <c r="B219" s="7" t="n"/>
      <c r="C219" s="7" t="n"/>
      <c r="D219" s="7" t="n"/>
    </row>
    <row r="220">
      <c r="A220" s="12" t="n"/>
      <c r="B220" s="7" t="n"/>
      <c r="C220" s="7" t="n"/>
      <c r="D220" s="7" t="n"/>
    </row>
    <row r="221">
      <c r="A221" s="12" t="n"/>
      <c r="B221" s="7" t="n"/>
      <c r="C221" s="7" t="n"/>
      <c r="D221" s="7" t="n"/>
    </row>
    <row r="222">
      <c r="A222" s="12" t="n"/>
      <c r="B222" s="7" t="n"/>
      <c r="C222" s="7" t="n"/>
      <c r="D222" s="7" t="n"/>
    </row>
    <row r="223">
      <c r="A223" s="12" t="n"/>
      <c r="B223" s="7" t="n"/>
      <c r="C223" s="7" t="n"/>
      <c r="D223" s="7" t="n"/>
    </row>
    <row r="224">
      <c r="A224" s="12" t="n"/>
      <c r="B224" s="7" t="n"/>
      <c r="C224" s="7" t="n"/>
      <c r="D224" s="7" t="n"/>
    </row>
    <row r="225">
      <c r="A225" s="12" t="n"/>
      <c r="B225" s="7" t="n"/>
      <c r="C225" s="7" t="n"/>
      <c r="D225" s="7" t="n"/>
    </row>
    <row r="226">
      <c r="A226" s="12" t="n"/>
      <c r="B226" s="7" t="n"/>
      <c r="C226" s="7" t="n"/>
      <c r="D226" s="7" t="n"/>
    </row>
    <row r="227">
      <c r="A227" s="12" t="n"/>
      <c r="B227" s="7" t="n"/>
      <c r="C227" s="7" t="n"/>
      <c r="D227" s="7" t="n"/>
    </row>
    <row r="228">
      <c r="A228" s="12" t="n"/>
      <c r="B228" s="7" t="n"/>
      <c r="C228" s="7" t="n"/>
      <c r="D228" s="7" t="n"/>
    </row>
    <row r="229">
      <c r="A229" s="12" t="n"/>
      <c r="B229" s="7" t="n"/>
      <c r="C229" s="7" t="n"/>
      <c r="D229" s="7" t="n"/>
    </row>
    <row r="230">
      <c r="A230" s="12" t="n"/>
      <c r="B230" s="7" t="n"/>
      <c r="C230" s="7" t="n"/>
      <c r="D230" s="7" t="n"/>
    </row>
    <row r="231">
      <c r="A231" s="12" t="n"/>
      <c r="B231" s="7" t="n"/>
      <c r="C231" s="7" t="n"/>
      <c r="D231" s="7" t="n"/>
    </row>
    <row r="232">
      <c r="A232" s="12" t="n"/>
      <c r="B232" s="7" t="n"/>
      <c r="C232" s="7" t="n"/>
      <c r="D232" s="7" t="n"/>
    </row>
    <row r="233">
      <c r="A233" s="12" t="n"/>
      <c r="B233" s="7" t="n"/>
      <c r="C233" s="7" t="n"/>
      <c r="D233" s="7" t="n"/>
    </row>
    <row r="234">
      <c r="A234" s="12" t="n"/>
      <c r="B234" s="7" t="n"/>
      <c r="C234" s="7" t="n"/>
      <c r="D234" s="7" t="n"/>
    </row>
    <row r="235">
      <c r="A235" s="12" t="n"/>
      <c r="B235" s="7" t="n"/>
      <c r="C235" s="7" t="n"/>
      <c r="D235" s="7" t="n"/>
    </row>
    <row r="236">
      <c r="A236" s="12" t="n"/>
      <c r="B236" s="7" t="n"/>
      <c r="C236" s="7" t="n"/>
      <c r="D236" s="7" t="n"/>
    </row>
    <row r="237">
      <c r="A237" s="12" t="n"/>
      <c r="B237" s="7" t="n"/>
      <c r="C237" s="7" t="n"/>
      <c r="D237" s="7" t="n"/>
    </row>
    <row r="238">
      <c r="A238" s="12" t="n"/>
      <c r="B238" s="7" t="n"/>
      <c r="C238" s="7" t="n"/>
      <c r="D238" s="7" t="n"/>
    </row>
    <row r="239">
      <c r="A239" s="12" t="n"/>
      <c r="B239" s="7" t="n"/>
      <c r="C239" s="7" t="n"/>
      <c r="D239" s="7" t="n"/>
    </row>
    <row r="240">
      <c r="A240" s="12" t="n"/>
      <c r="B240" s="7" t="n"/>
      <c r="C240" s="7" t="n"/>
      <c r="D240" s="7" t="n"/>
    </row>
    <row r="241">
      <c r="A241" s="12" t="n"/>
      <c r="B241" s="7" t="n"/>
      <c r="C241" s="7" t="n"/>
      <c r="D241" s="7" t="n"/>
    </row>
    <row r="242">
      <c r="A242" s="12" t="n"/>
      <c r="B242" s="7" t="n"/>
      <c r="C242" s="7" t="n"/>
      <c r="D242" s="7" t="n"/>
    </row>
    <row r="243">
      <c r="A243" s="12" t="n"/>
      <c r="B243" s="7" t="n"/>
      <c r="C243" s="7" t="n"/>
      <c r="D243" s="7" t="n"/>
    </row>
    <row r="244">
      <c r="A244" s="12" t="n"/>
      <c r="B244" s="7" t="n"/>
      <c r="C244" s="7" t="n"/>
      <c r="D244" s="7" t="n"/>
    </row>
    <row r="245">
      <c r="A245" s="12" t="n"/>
      <c r="B245" s="7" t="n"/>
      <c r="C245" s="7" t="n"/>
      <c r="D245" s="7" t="n"/>
    </row>
    <row r="246">
      <c r="A246" s="12" t="n"/>
      <c r="B246" s="7" t="n"/>
      <c r="C246" s="7" t="n"/>
      <c r="D246" s="7" t="n"/>
    </row>
    <row r="247">
      <c r="A247" s="12" t="n"/>
      <c r="B247" s="7" t="n"/>
      <c r="C247" s="7" t="n"/>
      <c r="D247" s="7" t="n"/>
    </row>
    <row r="248">
      <c r="A248" s="12" t="n"/>
      <c r="B248" s="7" t="n"/>
      <c r="C248" s="7" t="n"/>
      <c r="D248" s="7" t="n"/>
    </row>
    <row r="249">
      <c r="A249" s="12" t="n"/>
      <c r="B249" s="7" t="n"/>
      <c r="C249" s="7" t="n"/>
      <c r="D249" s="7" t="n"/>
    </row>
    <row r="250">
      <c r="A250" s="12" t="n"/>
      <c r="B250" s="7" t="n"/>
      <c r="C250" s="7" t="n"/>
      <c r="D250" s="7" t="n"/>
    </row>
    <row r="251">
      <c r="A251" s="12" t="n"/>
      <c r="B251" s="7" t="n"/>
      <c r="C251" s="7" t="n"/>
      <c r="D251" s="7" t="n"/>
    </row>
    <row r="252">
      <c r="A252" s="12" t="n"/>
      <c r="B252" s="7" t="n"/>
      <c r="C252" s="7" t="n"/>
      <c r="D252" s="7" t="n"/>
    </row>
    <row r="253">
      <c r="A253" s="12" t="n"/>
      <c r="B253" s="7" t="n"/>
      <c r="C253" s="7" t="n"/>
      <c r="D253" s="7" t="n"/>
    </row>
    <row r="254">
      <c r="A254" s="12" t="n"/>
      <c r="B254" s="7" t="n"/>
      <c r="C254" s="7" t="n"/>
      <c r="D254" s="7" t="n"/>
    </row>
    <row r="255">
      <c r="A255" s="12" t="n"/>
      <c r="B255" s="7" t="n"/>
      <c r="C255" s="7" t="n"/>
      <c r="D255" s="7" t="n"/>
    </row>
    <row r="256">
      <c r="A256" s="12" t="n"/>
      <c r="B256" s="7" t="n"/>
      <c r="C256" s="7" t="n"/>
      <c r="D256" s="7" t="n"/>
    </row>
    <row r="257">
      <c r="A257" s="12" t="n"/>
      <c r="B257" s="7" t="n"/>
      <c r="C257" s="7" t="n"/>
      <c r="D257" s="7" t="n"/>
    </row>
    <row r="258">
      <c r="A258" s="12" t="n"/>
      <c r="B258" s="7" t="n"/>
      <c r="C258" s="7" t="n"/>
      <c r="D258" s="7" t="n"/>
    </row>
    <row r="259">
      <c r="A259" s="12" t="n"/>
      <c r="B259" s="7" t="n"/>
      <c r="C259" s="7" t="n"/>
      <c r="D259" s="7" t="n"/>
    </row>
    <row r="260">
      <c r="A260" s="12" t="n"/>
      <c r="B260" s="7" t="n"/>
      <c r="C260" s="7" t="n"/>
      <c r="D260" s="7" t="n"/>
    </row>
    <row r="261">
      <c r="A261" s="12" t="n"/>
      <c r="B261" s="7" t="n"/>
      <c r="C261" s="7" t="n"/>
      <c r="D261" s="7" t="n"/>
    </row>
    <row r="262">
      <c r="A262" s="12" t="n"/>
      <c r="B262" s="7" t="n"/>
      <c r="C262" s="7" t="n"/>
      <c r="D262" s="7" t="n"/>
    </row>
    <row r="263">
      <c r="A263" s="12" t="n"/>
      <c r="B263" s="7" t="n"/>
      <c r="C263" s="7" t="n"/>
      <c r="D263" s="7" t="n"/>
    </row>
    <row r="264">
      <c r="A264" s="12" t="n"/>
      <c r="B264" s="7" t="n"/>
      <c r="C264" s="7" t="n"/>
      <c r="D264" s="7" t="n"/>
    </row>
    <row r="265">
      <c r="A265" s="12" t="n"/>
      <c r="B265" s="7" t="n"/>
      <c r="C265" s="7" t="n"/>
      <c r="D265" s="7" t="n"/>
    </row>
    <row r="266">
      <c r="A266" s="12" t="n"/>
      <c r="B266" s="7" t="n"/>
      <c r="C266" s="7" t="n"/>
      <c r="D266" s="7" t="n"/>
    </row>
    <row r="267">
      <c r="A267" s="12" t="n"/>
      <c r="B267" s="7" t="n"/>
      <c r="C267" s="7" t="n"/>
      <c r="D267" s="7" t="n"/>
    </row>
    <row r="268">
      <c r="A268" s="12" t="n"/>
      <c r="B268" s="7" t="n"/>
      <c r="C268" s="7" t="n"/>
      <c r="D268" s="7" t="n"/>
    </row>
    <row r="269">
      <c r="A269" s="12" t="n"/>
      <c r="B269" s="7" t="n"/>
      <c r="C269" s="7" t="n"/>
      <c r="D269" s="7" t="n"/>
    </row>
    <row r="270">
      <c r="A270" s="12" t="n"/>
      <c r="B270" s="7" t="n"/>
      <c r="C270" s="7" t="n"/>
      <c r="D270" s="7" t="n"/>
    </row>
    <row r="271">
      <c r="A271" s="12" t="n"/>
      <c r="B271" s="7" t="n"/>
      <c r="C271" s="7" t="n"/>
      <c r="D271" s="7" t="n"/>
    </row>
    <row r="272">
      <c r="A272" s="12" t="n"/>
      <c r="B272" s="7" t="n"/>
      <c r="C272" s="7" t="n"/>
      <c r="D272" s="7" t="n"/>
    </row>
    <row r="273">
      <c r="A273" s="12" t="n"/>
      <c r="B273" s="7" t="n"/>
      <c r="C273" s="7" t="n"/>
      <c r="D273" s="7" t="n"/>
    </row>
    <row r="274">
      <c r="A274" s="12" t="n"/>
      <c r="B274" s="7" t="n"/>
      <c r="C274" s="7" t="n"/>
      <c r="D274" s="7" t="n"/>
    </row>
    <row r="275">
      <c r="A275" s="12" t="n"/>
      <c r="B275" s="7" t="n"/>
      <c r="C275" s="7" t="n"/>
      <c r="D275" s="7" t="n"/>
    </row>
    <row r="276">
      <c r="A276" s="12" t="n"/>
      <c r="B276" s="7" t="n"/>
      <c r="C276" s="7" t="n"/>
      <c r="D276" s="7" t="n"/>
    </row>
    <row r="277">
      <c r="A277" s="12" t="n"/>
      <c r="B277" s="7" t="n"/>
      <c r="C277" s="7" t="n"/>
      <c r="D277" s="7" t="n"/>
    </row>
    <row r="278">
      <c r="A278" s="12" t="n"/>
      <c r="B278" s="7" t="n"/>
      <c r="C278" s="7" t="n"/>
      <c r="D278" s="7" t="n"/>
    </row>
    <row r="279">
      <c r="A279" s="12" t="n"/>
      <c r="B279" s="7" t="n"/>
      <c r="C279" s="7" t="n"/>
      <c r="D279" s="7" t="n"/>
    </row>
    <row r="280">
      <c r="A280" s="12" t="n"/>
      <c r="B280" s="7" t="n"/>
      <c r="C280" s="7" t="n"/>
      <c r="D280" s="7" t="n"/>
    </row>
    <row r="281">
      <c r="A281" s="12" t="n"/>
      <c r="B281" s="7" t="n"/>
      <c r="C281" s="7" t="n"/>
      <c r="D281" s="7" t="n"/>
    </row>
    <row r="282">
      <c r="A282" s="12" t="n"/>
      <c r="B282" s="7" t="n"/>
      <c r="C282" s="7" t="n"/>
      <c r="D282" s="7" t="n"/>
    </row>
    <row r="283">
      <c r="A283" s="12" t="n"/>
      <c r="B283" s="7" t="n"/>
      <c r="C283" s="7" t="n"/>
      <c r="D283" s="7" t="n"/>
    </row>
    <row r="284">
      <c r="A284" s="12" t="n"/>
      <c r="B284" s="7" t="n"/>
      <c r="C284" s="7" t="n"/>
      <c r="D284" s="7" t="n"/>
    </row>
    <row r="285">
      <c r="A285" s="12" t="n"/>
      <c r="B285" s="7" t="n"/>
      <c r="C285" s="7" t="n"/>
      <c r="D285" s="7" t="n"/>
    </row>
    <row r="286">
      <c r="A286" s="12" t="n"/>
      <c r="B286" s="7" t="n"/>
      <c r="C286" s="7" t="n"/>
      <c r="D286" s="7" t="n"/>
    </row>
    <row r="287">
      <c r="A287" s="12" t="n"/>
      <c r="B287" s="7" t="n"/>
      <c r="C287" s="7" t="n"/>
      <c r="D287" s="7" t="n"/>
    </row>
    <row r="288">
      <c r="A288" s="12" t="n"/>
      <c r="B288" s="7" t="n"/>
      <c r="C288" s="7" t="n"/>
      <c r="D288" s="7" t="n"/>
    </row>
    <row r="289">
      <c r="A289" s="12" t="n"/>
      <c r="B289" s="7" t="n"/>
      <c r="C289" s="7" t="n"/>
      <c r="D289" s="7" t="n"/>
    </row>
    <row r="290">
      <c r="A290" s="12" t="n"/>
      <c r="B290" s="7" t="n"/>
      <c r="C290" s="7" t="n"/>
      <c r="D290" s="7" t="n"/>
    </row>
    <row r="291">
      <c r="A291" s="12" t="n"/>
      <c r="B291" s="7" t="n"/>
      <c r="C291" s="7" t="n"/>
      <c r="D291" s="7" t="n"/>
    </row>
    <row r="292">
      <c r="A292" s="12" t="n"/>
      <c r="B292" s="7" t="n"/>
      <c r="C292" s="7" t="n"/>
      <c r="D292" s="7" t="n"/>
    </row>
    <row r="293">
      <c r="A293" s="12" t="n"/>
      <c r="B293" s="7" t="n"/>
      <c r="C293" s="7" t="n"/>
      <c r="D293" s="7" t="n"/>
    </row>
    <row r="294">
      <c r="A294" s="12" t="n"/>
      <c r="B294" s="7" t="n"/>
      <c r="C294" s="7" t="n"/>
      <c r="D294" s="7" t="n"/>
    </row>
    <row r="295">
      <c r="A295" s="12" t="n"/>
      <c r="B295" s="7" t="n"/>
      <c r="C295" s="7" t="n"/>
      <c r="D295" s="7" t="n"/>
    </row>
    <row r="296">
      <c r="A296" s="12" t="n"/>
      <c r="B296" s="7" t="n"/>
      <c r="C296" s="7" t="n"/>
      <c r="D296" s="7" t="n"/>
    </row>
    <row r="297">
      <c r="A297" s="12" t="n"/>
      <c r="B297" s="7" t="n"/>
      <c r="C297" s="7" t="n"/>
      <c r="D297" s="7" t="n"/>
    </row>
    <row r="298">
      <c r="A298" s="12" t="n"/>
      <c r="B298" s="7" t="n"/>
      <c r="C298" s="7" t="n"/>
      <c r="D298" s="7" t="n"/>
    </row>
    <row r="299">
      <c r="A299" s="12" t="n"/>
      <c r="B299" s="7" t="n"/>
      <c r="C299" s="7" t="n"/>
      <c r="D299" s="7" t="n"/>
    </row>
    <row r="300">
      <c r="A300" s="12" t="n"/>
      <c r="B300" s="7" t="n"/>
      <c r="C300" s="7" t="n"/>
      <c r="D300" s="7" t="n"/>
    </row>
    <row r="301">
      <c r="A301" s="12" t="n"/>
      <c r="B301" s="7" t="n"/>
      <c r="C301" s="7" t="n"/>
      <c r="D301" s="7" t="n"/>
    </row>
    <row r="302">
      <c r="A302" s="12" t="n"/>
      <c r="B302" s="7" t="n"/>
      <c r="C302" s="7" t="n"/>
      <c r="D302" s="7" t="n"/>
    </row>
    <row r="303">
      <c r="A303" s="12" t="n"/>
      <c r="B303" s="7" t="n"/>
      <c r="C303" s="7" t="n"/>
      <c r="D303" s="7" t="n"/>
    </row>
    <row r="304">
      <c r="A304" s="12" t="n"/>
      <c r="B304" s="7" t="n"/>
      <c r="C304" s="7" t="n"/>
      <c r="D304" s="7" t="n"/>
    </row>
    <row r="305">
      <c r="A305" s="12" t="n"/>
      <c r="B305" s="7" t="n"/>
      <c r="C305" s="7" t="n"/>
      <c r="D305" s="7" t="n"/>
    </row>
    <row r="306">
      <c r="A306" s="12" t="n"/>
      <c r="B306" s="7" t="n"/>
      <c r="C306" s="7" t="n"/>
      <c r="D306" s="7" t="n"/>
    </row>
    <row r="307">
      <c r="A307" s="12" t="n"/>
      <c r="B307" s="7" t="n"/>
      <c r="C307" s="7" t="n"/>
      <c r="D307" s="7" t="n"/>
    </row>
    <row r="308">
      <c r="A308" s="12" t="n"/>
      <c r="B308" s="7" t="n"/>
      <c r="C308" s="7" t="n"/>
      <c r="D308" s="7" t="n"/>
    </row>
    <row r="309">
      <c r="A309" s="12" t="n"/>
      <c r="B309" s="7" t="n"/>
      <c r="C309" s="7" t="n"/>
      <c r="D309" s="7" t="n"/>
    </row>
    <row r="310">
      <c r="A310" s="12" t="n"/>
      <c r="B310" s="7" t="n"/>
      <c r="C310" s="7" t="n"/>
      <c r="D310" s="7" t="n"/>
    </row>
    <row r="311">
      <c r="A311" s="12" t="n"/>
      <c r="B311" s="7" t="n"/>
      <c r="C311" s="7" t="n"/>
      <c r="D311" s="7" t="n"/>
    </row>
    <row r="312">
      <c r="A312" s="12" t="n"/>
      <c r="B312" s="7" t="n"/>
      <c r="C312" s="7" t="n"/>
      <c r="D312" s="7" t="n"/>
    </row>
    <row r="313">
      <c r="A313" s="12" t="n"/>
      <c r="B313" s="7" t="n"/>
      <c r="C313" s="7" t="n"/>
      <c r="D313" s="7" t="n"/>
    </row>
    <row r="314">
      <c r="A314" s="12" t="n"/>
      <c r="B314" s="7" t="n"/>
      <c r="C314" s="7" t="n"/>
      <c r="D314" s="7" t="n"/>
    </row>
    <row r="315">
      <c r="A315" s="12" t="n"/>
      <c r="B315" s="7" t="n"/>
      <c r="C315" s="7" t="n"/>
      <c r="D315" s="7" t="n"/>
    </row>
    <row r="316">
      <c r="A316" s="12" t="n"/>
      <c r="B316" s="7" t="n"/>
      <c r="C316" s="7" t="n"/>
      <c r="D316" s="7" t="n"/>
    </row>
    <row r="317">
      <c r="A317" s="12" t="n"/>
      <c r="B317" s="7" t="n"/>
      <c r="C317" s="7" t="n"/>
      <c r="D317" s="7" t="n"/>
    </row>
    <row r="318">
      <c r="A318" s="12" t="n"/>
      <c r="B318" s="7" t="n"/>
      <c r="C318" s="7" t="n"/>
      <c r="D318" s="7" t="n"/>
    </row>
    <row r="319">
      <c r="A319" s="12" t="n"/>
      <c r="B319" s="7" t="n"/>
      <c r="C319" s="7" t="n"/>
      <c r="D319" s="7" t="n"/>
    </row>
    <row r="320">
      <c r="A320" s="12" t="n"/>
      <c r="B320" s="7" t="n"/>
      <c r="C320" s="7" t="n"/>
      <c r="D320" s="7" t="n"/>
    </row>
    <row r="321">
      <c r="A321" s="12" t="n"/>
      <c r="B321" s="7" t="n"/>
      <c r="C321" s="7" t="n"/>
      <c r="D321" s="7" t="n"/>
    </row>
    <row r="322">
      <c r="A322" s="12" t="n"/>
      <c r="B322" s="7" t="n"/>
      <c r="C322" s="7" t="n"/>
      <c r="D322" s="7" t="n"/>
    </row>
    <row r="323">
      <c r="A323" s="12" t="n"/>
      <c r="B323" s="7" t="n"/>
      <c r="C323" s="7" t="n"/>
      <c r="D323" s="7" t="n"/>
    </row>
    <row r="324">
      <c r="A324" s="12" t="n"/>
      <c r="B324" s="7" t="n"/>
      <c r="C324" s="7" t="n"/>
      <c r="D324" s="7" t="n"/>
    </row>
    <row r="325">
      <c r="A325" s="12" t="n"/>
      <c r="B325" s="7" t="n"/>
      <c r="C325" s="7" t="n"/>
      <c r="D325" s="7" t="n"/>
    </row>
    <row r="326">
      <c r="A326" s="12" t="n"/>
      <c r="B326" s="7" t="n"/>
      <c r="C326" s="7" t="n"/>
      <c r="D326" s="7" t="n"/>
    </row>
    <row r="327">
      <c r="A327" s="12" t="n"/>
      <c r="B327" s="7" t="n"/>
      <c r="C327" s="7" t="n"/>
      <c r="D327" s="7" t="n"/>
    </row>
    <row r="328">
      <c r="A328" s="12" t="n"/>
      <c r="B328" s="7" t="n"/>
      <c r="C328" s="7" t="n"/>
      <c r="D328" s="7" t="n"/>
    </row>
    <row r="329">
      <c r="A329" s="12" t="n"/>
      <c r="B329" s="7" t="n"/>
      <c r="C329" s="7" t="n"/>
      <c r="D329" s="7" t="n"/>
    </row>
    <row r="330">
      <c r="A330" s="12" t="n"/>
      <c r="B330" s="7" t="n"/>
      <c r="C330" s="7" t="n"/>
      <c r="D330" s="7" t="n"/>
    </row>
    <row r="331">
      <c r="A331" s="12" t="n"/>
      <c r="B331" s="7" t="n"/>
      <c r="C331" s="7" t="n"/>
      <c r="D331" s="7" t="n"/>
    </row>
    <row r="332">
      <c r="A332" s="12" t="n"/>
      <c r="B332" s="7" t="n"/>
      <c r="C332" s="7" t="n"/>
      <c r="D332" s="7" t="n"/>
    </row>
    <row r="333">
      <c r="A333" s="12" t="n"/>
      <c r="B333" s="7" t="n"/>
      <c r="C333" s="7" t="n"/>
      <c r="D333" s="7" t="n"/>
    </row>
    <row r="334">
      <c r="A334" s="12" t="n"/>
      <c r="B334" s="7" t="n"/>
      <c r="C334" s="7" t="n"/>
      <c r="D334" s="7" t="n"/>
    </row>
    <row r="335">
      <c r="A335" s="12" t="n"/>
      <c r="B335" s="7" t="n"/>
      <c r="C335" s="7" t="n"/>
      <c r="D335" s="7" t="n"/>
    </row>
    <row r="336">
      <c r="A336" s="12" t="n"/>
      <c r="B336" s="7" t="n"/>
      <c r="C336" s="7" t="n"/>
      <c r="D336" s="7" t="n"/>
    </row>
    <row r="337">
      <c r="A337" s="12" t="n"/>
      <c r="B337" s="7" t="n"/>
      <c r="C337" s="7" t="n"/>
      <c r="D337" s="7" t="n"/>
    </row>
    <row r="338">
      <c r="A338" s="12" t="n"/>
      <c r="B338" s="7" t="n"/>
      <c r="C338" s="7" t="n"/>
      <c r="D338" s="7" t="n"/>
    </row>
    <row r="339">
      <c r="A339" s="12" t="n"/>
      <c r="B339" s="7" t="n"/>
      <c r="C339" s="7" t="n"/>
      <c r="D339" s="7" t="n"/>
    </row>
    <row r="340">
      <c r="A340" s="12" t="n"/>
      <c r="B340" s="7" t="n"/>
      <c r="C340" s="7" t="n"/>
      <c r="D340" s="7" t="n"/>
    </row>
    <row r="341">
      <c r="A341" s="12" t="n"/>
      <c r="B341" s="7" t="n"/>
      <c r="C341" s="7" t="n"/>
      <c r="D341" s="7" t="n"/>
    </row>
    <row r="342">
      <c r="A342" s="12" t="n"/>
      <c r="B342" s="7" t="n"/>
      <c r="C342" s="7" t="n"/>
      <c r="D342" s="7" t="n"/>
    </row>
    <row r="343">
      <c r="A343" s="12" t="n"/>
      <c r="B343" s="7" t="n"/>
      <c r="C343" s="7" t="n"/>
      <c r="D343" s="7" t="n"/>
    </row>
    <row r="344">
      <c r="A344" s="12" t="n"/>
      <c r="B344" s="7" t="n"/>
      <c r="C344" s="7" t="n"/>
      <c r="D344" s="7" t="n"/>
    </row>
    <row r="345">
      <c r="A345" s="12" t="n"/>
      <c r="B345" s="7" t="n"/>
      <c r="C345" s="7" t="n"/>
      <c r="D345" s="7" t="n"/>
    </row>
    <row r="346">
      <c r="A346" s="12" t="n"/>
      <c r="B346" s="7" t="n"/>
      <c r="C346" s="7" t="n"/>
      <c r="D346" s="7" t="n"/>
    </row>
    <row r="347">
      <c r="A347" s="12" t="n"/>
      <c r="B347" s="7" t="n"/>
      <c r="C347" s="7" t="n"/>
      <c r="D347" s="7" t="n"/>
    </row>
    <row r="348">
      <c r="A348" s="12" t="n"/>
      <c r="B348" s="7" t="n"/>
      <c r="C348" s="7" t="n"/>
      <c r="D348" s="7" t="n"/>
    </row>
    <row r="349">
      <c r="A349" s="12" t="n"/>
      <c r="B349" s="7" t="n"/>
      <c r="C349" s="7" t="n"/>
      <c r="D349" s="7" t="n"/>
    </row>
    <row r="350">
      <c r="A350" s="12" t="n"/>
      <c r="B350" s="7" t="n"/>
      <c r="C350" s="7" t="n"/>
      <c r="D350" s="7" t="n"/>
    </row>
    <row r="351">
      <c r="A351" s="12" t="n"/>
      <c r="B351" s="7" t="n"/>
      <c r="C351" s="7" t="n"/>
      <c r="D351" s="7" t="n"/>
    </row>
    <row r="352">
      <c r="A352" s="12" t="n"/>
      <c r="B352" s="7" t="n"/>
      <c r="C352" s="7" t="n"/>
      <c r="D352" s="7" t="n"/>
    </row>
    <row r="353">
      <c r="A353" s="12" t="n"/>
      <c r="B353" s="7" t="n"/>
      <c r="C353" s="7" t="n"/>
      <c r="D353" s="7" t="n"/>
    </row>
    <row r="354">
      <c r="A354" s="12" t="n"/>
      <c r="B354" s="7" t="n"/>
      <c r="C354" s="7" t="n"/>
      <c r="D354" s="7" t="n"/>
    </row>
    <row r="355">
      <c r="A355" s="12" t="n"/>
      <c r="B355" s="7" t="n"/>
      <c r="C355" s="7" t="n"/>
      <c r="D355" s="7" t="n"/>
    </row>
    <row r="356">
      <c r="A356" s="12" t="n"/>
      <c r="B356" s="7" t="n"/>
      <c r="C356" s="7" t="n"/>
      <c r="D356" s="7" t="n"/>
    </row>
    <row r="357">
      <c r="A357" s="12" t="n"/>
      <c r="B357" s="7" t="n"/>
      <c r="C357" s="7" t="n"/>
      <c r="D357" s="7" t="n"/>
    </row>
    <row r="358">
      <c r="A358" s="12" t="n"/>
      <c r="B358" s="7" t="n"/>
      <c r="C358" s="7" t="n"/>
      <c r="D358" s="7" t="n"/>
    </row>
    <row r="359">
      <c r="A359" s="12" t="n"/>
      <c r="B359" s="7" t="n"/>
      <c r="C359" s="7" t="n"/>
      <c r="D359" s="7" t="n"/>
    </row>
    <row r="360">
      <c r="A360" s="12" t="n"/>
      <c r="B360" s="7" t="n"/>
      <c r="C360" s="7" t="n"/>
      <c r="D360" s="7" t="n"/>
    </row>
    <row r="361">
      <c r="A361" s="12" t="n"/>
      <c r="B361" s="7" t="n"/>
      <c r="C361" s="7" t="n"/>
      <c r="D361" s="7" t="n"/>
    </row>
    <row r="362">
      <c r="A362" s="12" t="n"/>
      <c r="B362" s="7" t="n"/>
      <c r="C362" s="7" t="n"/>
      <c r="D362" s="7" t="n"/>
    </row>
    <row r="363">
      <c r="A363" s="12" t="n"/>
      <c r="B363" s="7" t="n"/>
      <c r="C363" s="7" t="n"/>
      <c r="D363" s="7" t="n"/>
    </row>
    <row r="364">
      <c r="A364" s="12" t="n"/>
      <c r="B364" s="7" t="n"/>
      <c r="C364" s="7" t="n"/>
      <c r="D364" s="7" t="n"/>
    </row>
    <row r="365">
      <c r="A365" s="12" t="n"/>
      <c r="B365" s="7" t="n"/>
      <c r="C365" s="7" t="n"/>
      <c r="D365" s="7" t="n"/>
    </row>
    <row r="366">
      <c r="A366" s="12" t="n"/>
      <c r="B366" s="7" t="n"/>
      <c r="C366" s="7" t="n"/>
      <c r="D366" s="7" t="n"/>
    </row>
    <row r="367">
      <c r="A367" s="12" t="n"/>
      <c r="B367" s="7" t="n"/>
      <c r="C367" s="7" t="n"/>
      <c r="D367" s="7" t="n"/>
    </row>
    <row r="368">
      <c r="A368" s="12" t="n"/>
      <c r="B368" s="7" t="n"/>
      <c r="C368" s="7" t="n"/>
      <c r="D368" s="7" t="n"/>
    </row>
    <row r="369">
      <c r="A369" s="12" t="n"/>
      <c r="B369" s="7" t="n"/>
      <c r="C369" s="7" t="n"/>
      <c r="D369" s="7" t="n"/>
    </row>
    <row r="370">
      <c r="A370" s="12" t="n"/>
      <c r="B370" s="7" t="n"/>
      <c r="C370" s="7" t="n"/>
      <c r="D370" s="7" t="n"/>
    </row>
    <row r="371">
      <c r="A371" s="12" t="n"/>
      <c r="B371" s="7" t="n"/>
      <c r="C371" s="7" t="n"/>
      <c r="D371" s="7" t="n"/>
    </row>
    <row r="372">
      <c r="A372" s="12" t="n"/>
      <c r="B372" s="7" t="n"/>
      <c r="C372" s="7" t="n"/>
      <c r="D372" s="7" t="n"/>
    </row>
    <row r="373">
      <c r="A373" s="12" t="n"/>
      <c r="B373" s="7" t="n"/>
      <c r="C373" s="7" t="n"/>
      <c r="D373" s="7" t="n"/>
    </row>
    <row r="374">
      <c r="A374" s="12" t="n"/>
      <c r="B374" s="7" t="n"/>
      <c r="C374" s="7" t="n"/>
      <c r="D374" s="7" t="n"/>
    </row>
    <row r="375">
      <c r="A375" s="12" t="n"/>
      <c r="B375" s="7" t="n"/>
      <c r="C375" s="7" t="n"/>
      <c r="D375" s="7" t="n"/>
    </row>
    <row r="376">
      <c r="A376" s="12" t="n"/>
      <c r="B376" s="7" t="n"/>
      <c r="C376" s="7" t="n"/>
      <c r="D376" s="7" t="n"/>
    </row>
    <row r="377">
      <c r="A377" s="12" t="n"/>
      <c r="B377" s="7" t="n"/>
      <c r="C377" s="7" t="n"/>
      <c r="D377" s="7" t="n"/>
    </row>
    <row r="378">
      <c r="A378" s="12" t="n"/>
      <c r="B378" s="7" t="n"/>
      <c r="C378" s="7" t="n"/>
      <c r="D378" s="7" t="n"/>
    </row>
    <row r="379">
      <c r="A379" s="12" t="n"/>
      <c r="B379" s="7" t="n"/>
      <c r="C379" s="7" t="n"/>
      <c r="D379" s="7" t="n"/>
    </row>
    <row r="380">
      <c r="A380" s="12" t="n"/>
      <c r="B380" s="7" t="n"/>
      <c r="C380" s="7" t="n"/>
      <c r="D380" s="7" t="n"/>
    </row>
    <row r="381">
      <c r="A381" s="12" t="n"/>
      <c r="B381" s="7" t="n"/>
      <c r="C381" s="7" t="n"/>
      <c r="D381" s="7" t="n"/>
    </row>
    <row r="382">
      <c r="A382" s="12" t="n"/>
      <c r="B382" s="7" t="n"/>
      <c r="C382" s="7" t="n"/>
      <c r="D382" s="7" t="n"/>
    </row>
    <row r="383">
      <c r="A383" s="12" t="n"/>
      <c r="B383" s="7" t="n"/>
      <c r="C383" s="7" t="n"/>
      <c r="D383" s="7" t="n"/>
    </row>
    <row r="384">
      <c r="A384" s="12" t="n"/>
      <c r="B384" s="7" t="n"/>
      <c r="C384" s="7" t="n"/>
      <c r="D384" s="7" t="n"/>
    </row>
    <row r="385">
      <c r="A385" s="12" t="n"/>
      <c r="B385" s="7" t="n"/>
      <c r="C385" s="7" t="n"/>
      <c r="D385" s="7" t="n"/>
    </row>
    <row r="386">
      <c r="A386" s="12" t="n"/>
      <c r="B386" s="7" t="n"/>
      <c r="C386" s="7" t="n"/>
      <c r="D386" s="7" t="n"/>
    </row>
    <row r="387">
      <c r="A387" s="12" t="n"/>
      <c r="B387" s="7" t="n"/>
      <c r="C387" s="7" t="n"/>
      <c r="D387" s="7" t="n"/>
    </row>
    <row r="388">
      <c r="A388" s="12" t="n"/>
      <c r="B388" s="7" t="n"/>
      <c r="C388" s="7" t="n"/>
      <c r="D388" s="7" t="n"/>
    </row>
    <row r="389">
      <c r="A389" s="12" t="n"/>
      <c r="B389" s="7" t="n"/>
      <c r="C389" s="7" t="n"/>
      <c r="D389" s="7" t="n"/>
    </row>
    <row r="390">
      <c r="A390" s="12" t="n"/>
      <c r="B390" s="7" t="n"/>
      <c r="C390" s="7" t="n"/>
      <c r="D390" s="7" t="n"/>
    </row>
    <row r="391">
      <c r="A391" s="12" t="n"/>
      <c r="B391" s="7" t="n"/>
      <c r="C391" s="7" t="n"/>
      <c r="D391" s="7" t="n"/>
    </row>
    <row r="392">
      <c r="A392" s="12" t="n"/>
      <c r="B392" s="7" t="n"/>
      <c r="C392" s="7" t="n"/>
      <c r="D392" s="7" t="n"/>
    </row>
    <row r="393">
      <c r="A393" s="12" t="n"/>
      <c r="B393" s="7" t="n"/>
      <c r="C393" s="7" t="n"/>
      <c r="D393" s="7" t="n"/>
    </row>
    <row r="394">
      <c r="A394" s="12" t="n"/>
      <c r="B394" s="7" t="n"/>
      <c r="C394" s="7" t="n"/>
      <c r="D394" s="7" t="n"/>
    </row>
    <row r="395">
      <c r="A395" s="12" t="n"/>
      <c r="B395" s="7" t="n"/>
      <c r="C395" s="7" t="n"/>
      <c r="D395" s="7" t="n"/>
    </row>
    <row r="396">
      <c r="A396" s="12" t="n"/>
      <c r="B396" s="7" t="n"/>
      <c r="C396" s="7" t="n"/>
      <c r="D396" s="7" t="n"/>
    </row>
    <row r="397">
      <c r="A397" s="12" t="n"/>
      <c r="B397" s="7" t="n"/>
      <c r="C397" s="7" t="n"/>
      <c r="D397" s="7" t="n"/>
    </row>
    <row r="398">
      <c r="A398" s="12" t="n"/>
      <c r="B398" s="7" t="n"/>
      <c r="C398" s="7" t="n"/>
      <c r="D398" s="7" t="n"/>
    </row>
    <row r="399">
      <c r="A399" s="12" t="n"/>
      <c r="B399" s="7" t="n"/>
      <c r="C399" s="7" t="n"/>
      <c r="D399" s="7" t="n"/>
    </row>
    <row r="400">
      <c r="A400" s="12" t="n"/>
      <c r="B400" s="7" t="n"/>
      <c r="C400" s="7" t="n"/>
      <c r="D400" s="7" t="n"/>
    </row>
    <row r="401">
      <c r="A401" s="12" t="n"/>
      <c r="B401" s="7" t="n"/>
      <c r="C401" s="7" t="n"/>
      <c r="D401" s="7" t="n"/>
    </row>
    <row r="402">
      <c r="A402" s="12" t="n"/>
      <c r="B402" s="7" t="n"/>
      <c r="C402" s="7" t="n"/>
      <c r="D402" s="7" t="n"/>
    </row>
    <row r="403">
      <c r="A403" s="12" t="n"/>
      <c r="B403" s="7" t="n"/>
      <c r="C403" s="7" t="n"/>
      <c r="D403" s="7" t="n"/>
    </row>
    <row r="404">
      <c r="A404" s="12" t="n"/>
      <c r="B404" s="7" t="n"/>
      <c r="C404" s="7" t="n"/>
      <c r="D404" s="7" t="n"/>
    </row>
    <row r="405">
      <c r="A405" s="12" t="n"/>
      <c r="B405" s="7" t="n"/>
      <c r="C405" s="7" t="n"/>
      <c r="D405" s="7" t="n"/>
    </row>
    <row r="406">
      <c r="A406" s="12" t="n"/>
      <c r="B406" s="7" t="n"/>
      <c r="C406" s="7" t="n"/>
      <c r="D406" s="7" t="n"/>
    </row>
    <row r="407">
      <c r="A407" s="12" t="n"/>
      <c r="B407" s="7" t="n"/>
      <c r="C407" s="7" t="n"/>
      <c r="D407" s="7" t="n"/>
    </row>
    <row r="408">
      <c r="A408" s="12" t="n"/>
      <c r="B408" s="7" t="n"/>
      <c r="C408" s="7" t="n"/>
      <c r="D408" s="7" t="n"/>
    </row>
    <row r="409">
      <c r="A409" s="12" t="n"/>
      <c r="B409" s="7" t="n"/>
      <c r="C409" s="7" t="n"/>
      <c r="D409" s="7" t="n"/>
    </row>
    <row r="410">
      <c r="A410" s="12" t="n"/>
      <c r="B410" s="7" t="n"/>
      <c r="C410" s="7" t="n"/>
      <c r="D410" s="7" t="n"/>
    </row>
    <row r="411">
      <c r="A411" s="12" t="n"/>
      <c r="B411" s="7" t="n"/>
      <c r="C411" s="7" t="n"/>
      <c r="D411" s="7" t="n"/>
    </row>
    <row r="412">
      <c r="A412" s="12" t="n"/>
      <c r="B412" s="7" t="n"/>
      <c r="C412" s="7" t="n"/>
      <c r="D412" s="7" t="n"/>
    </row>
    <row r="413">
      <c r="A413" s="12" t="n"/>
      <c r="B413" s="7" t="n"/>
      <c r="C413" s="7" t="n"/>
      <c r="D413" s="7" t="n"/>
    </row>
    <row r="414">
      <c r="A414" s="12" t="n"/>
      <c r="B414" s="7" t="n"/>
      <c r="C414" s="7" t="n"/>
      <c r="D414" s="7" t="n"/>
    </row>
    <row r="415">
      <c r="A415" s="12" t="n"/>
      <c r="B415" s="7" t="n"/>
      <c r="C415" s="7" t="n"/>
      <c r="D415" s="7" t="n"/>
    </row>
    <row r="416">
      <c r="A416" s="12" t="n"/>
      <c r="B416" s="7" t="n"/>
      <c r="C416" s="7" t="n"/>
      <c r="D416" s="7" t="n"/>
    </row>
    <row r="417">
      <c r="A417" s="12" t="n"/>
      <c r="B417" s="7" t="n"/>
      <c r="C417" s="7" t="n"/>
      <c r="D417" s="7" t="n"/>
    </row>
    <row r="418">
      <c r="A418" s="12" t="n"/>
      <c r="B418" s="7" t="n"/>
      <c r="C418" s="7" t="n"/>
      <c r="D418" s="7" t="n"/>
    </row>
    <row r="419">
      <c r="A419" s="12" t="n"/>
      <c r="B419" s="7" t="n"/>
      <c r="C419" s="7" t="n"/>
      <c r="D419" s="7" t="n"/>
    </row>
    <row r="420">
      <c r="A420" s="12" t="n"/>
      <c r="B420" s="7" t="n"/>
      <c r="C420" s="7" t="n"/>
      <c r="D420" s="7" t="n"/>
    </row>
    <row r="421">
      <c r="A421" s="12" t="n"/>
      <c r="B421" s="7" t="n"/>
      <c r="C421" s="7" t="n"/>
      <c r="D421" s="7" t="n"/>
    </row>
    <row r="422">
      <c r="A422" s="12" t="n"/>
      <c r="B422" s="7" t="n"/>
      <c r="C422" s="7" t="n"/>
      <c r="D422" s="7" t="n"/>
    </row>
    <row r="423">
      <c r="A423" s="12" t="n"/>
      <c r="B423" s="7" t="n"/>
      <c r="C423" s="7" t="n"/>
      <c r="D423" s="7" t="n"/>
    </row>
    <row r="424">
      <c r="A424" s="12" t="n"/>
      <c r="B424" s="7" t="n"/>
      <c r="C424" s="7" t="n"/>
      <c r="D424" s="7" t="n"/>
    </row>
    <row r="425">
      <c r="A425" s="12" t="n"/>
      <c r="B425" s="7" t="n"/>
      <c r="C425" s="7" t="n"/>
      <c r="D425" s="7" t="n"/>
    </row>
    <row r="426">
      <c r="A426" s="12" t="n"/>
      <c r="B426" s="7" t="n"/>
      <c r="C426" s="7" t="n"/>
      <c r="D426" s="7" t="n"/>
    </row>
    <row r="427">
      <c r="A427" s="12" t="n"/>
      <c r="B427" s="7" t="n"/>
      <c r="C427" s="7" t="n"/>
      <c r="D427" s="7" t="n"/>
    </row>
    <row r="428">
      <c r="A428" s="12" t="n"/>
      <c r="B428" s="7" t="n"/>
      <c r="C428" s="7" t="n"/>
      <c r="D428" s="7" t="n"/>
    </row>
    <row r="429">
      <c r="A429" s="12" t="n"/>
      <c r="B429" s="7" t="n"/>
      <c r="C429" s="7" t="n"/>
      <c r="D429" s="7" t="n"/>
    </row>
    <row r="430">
      <c r="A430" s="12" t="n"/>
      <c r="B430" s="7" t="n"/>
      <c r="C430" s="7" t="n"/>
      <c r="D430" s="7" t="n"/>
    </row>
    <row r="431">
      <c r="A431" s="12" t="n"/>
      <c r="B431" s="7" t="n"/>
      <c r="C431" s="7" t="n"/>
      <c r="D431" s="7" t="n"/>
    </row>
    <row r="432">
      <c r="A432" s="12" t="n"/>
      <c r="B432" s="7" t="n"/>
      <c r="C432" s="7" t="n"/>
      <c r="D432" s="7" t="n"/>
    </row>
    <row r="433">
      <c r="A433" s="12" t="n"/>
      <c r="B433" s="7" t="n"/>
      <c r="C433" s="7" t="n"/>
      <c r="D433" s="7" t="n"/>
    </row>
    <row r="434">
      <c r="A434" s="12" t="n"/>
      <c r="B434" s="7" t="n"/>
      <c r="C434" s="7" t="n"/>
      <c r="D434" s="7" t="n"/>
    </row>
    <row r="435">
      <c r="A435" s="12" t="n"/>
      <c r="B435" s="7" t="n"/>
      <c r="C435" s="7" t="n"/>
      <c r="D435" s="7" t="n"/>
    </row>
    <row r="436">
      <c r="A436" s="12" t="n"/>
      <c r="B436" s="7" t="n"/>
      <c r="C436" s="7" t="n"/>
      <c r="D436" s="7" t="n"/>
    </row>
    <row r="437">
      <c r="A437" s="12" t="n"/>
      <c r="B437" s="7" t="n"/>
      <c r="C437" s="7" t="n"/>
      <c r="D437" s="7" t="n"/>
    </row>
    <row r="438">
      <c r="A438" s="12" t="n"/>
      <c r="B438" s="7" t="n"/>
      <c r="C438" s="7" t="n"/>
      <c r="D438" s="7" t="n"/>
    </row>
    <row r="439">
      <c r="A439" s="12" t="n"/>
      <c r="B439" s="7" t="n"/>
      <c r="C439" s="7" t="n"/>
      <c r="D439" s="7" t="n"/>
    </row>
    <row r="440">
      <c r="A440" s="12" t="n"/>
      <c r="B440" s="7" t="n"/>
      <c r="C440" s="7" t="n"/>
      <c r="D440" s="7" t="n"/>
    </row>
    <row r="441">
      <c r="A441" s="12" t="n"/>
      <c r="B441" s="7" t="n"/>
      <c r="C441" s="7" t="n"/>
      <c r="D441" s="7" t="n"/>
    </row>
    <row r="442">
      <c r="A442" s="12" t="n"/>
      <c r="B442" s="7" t="n"/>
      <c r="C442" s="7" t="n"/>
      <c r="D442" s="7" t="n"/>
    </row>
    <row r="443">
      <c r="A443" s="12" t="n"/>
      <c r="B443" s="7" t="n"/>
      <c r="C443" s="7" t="n"/>
      <c r="D443" s="7" t="n"/>
    </row>
    <row r="444">
      <c r="A444" s="12" t="n"/>
      <c r="B444" s="7" t="n"/>
      <c r="C444" s="7" t="n"/>
      <c r="D444" s="7" t="n"/>
    </row>
    <row r="445">
      <c r="A445" s="12" t="n"/>
      <c r="B445" s="7" t="n"/>
      <c r="C445" s="7" t="n"/>
      <c r="D445" s="7" t="n"/>
    </row>
    <row r="446">
      <c r="A446" s="12" t="n"/>
      <c r="B446" s="7" t="n"/>
      <c r="C446" s="7" t="n"/>
      <c r="D446" s="7" t="n"/>
    </row>
    <row r="447">
      <c r="A447" s="12" t="n"/>
      <c r="B447" s="7" t="n"/>
      <c r="C447" s="7" t="n"/>
      <c r="D447" s="7" t="n"/>
    </row>
    <row r="448">
      <c r="A448" s="12" t="n"/>
      <c r="B448" s="7" t="n"/>
      <c r="C448" s="7" t="n"/>
      <c r="D448" s="7" t="n"/>
    </row>
    <row r="449">
      <c r="A449" s="12" t="n"/>
      <c r="B449" s="7" t="n"/>
      <c r="C449" s="7" t="n"/>
      <c r="D449" s="7" t="n"/>
    </row>
    <row r="450">
      <c r="A450" s="12" t="n"/>
      <c r="B450" s="7" t="n"/>
      <c r="C450" s="7" t="n"/>
      <c r="D450" s="7" t="n"/>
    </row>
    <row r="451">
      <c r="A451" s="12" t="n"/>
      <c r="B451" s="7" t="n"/>
      <c r="C451" s="7" t="n"/>
      <c r="D451" s="7" t="n"/>
    </row>
    <row r="452">
      <c r="A452" s="12" t="n"/>
      <c r="B452" s="7" t="n"/>
      <c r="C452" s="7" t="n"/>
      <c r="D452" s="7" t="n"/>
    </row>
    <row r="453">
      <c r="A453" s="12" t="n"/>
      <c r="B453" s="7" t="n"/>
      <c r="C453" s="7" t="n"/>
      <c r="D453" s="7" t="n"/>
    </row>
    <row r="454">
      <c r="A454" s="12" t="n"/>
      <c r="B454" s="7" t="n"/>
      <c r="C454" s="7" t="n"/>
      <c r="D454" s="7" t="n"/>
    </row>
    <row r="455">
      <c r="A455" s="12" t="n"/>
      <c r="B455" s="7" t="n"/>
      <c r="C455" s="7" t="n"/>
      <c r="D455" s="7" t="n"/>
    </row>
    <row r="456">
      <c r="A456" s="12" t="n"/>
      <c r="B456" s="7" t="n"/>
      <c r="C456" s="7" t="n"/>
      <c r="D456" s="7" t="n"/>
    </row>
    <row r="457">
      <c r="A457" s="12" t="n"/>
      <c r="B457" s="7" t="n"/>
      <c r="C457" s="7" t="n"/>
      <c r="D457" s="7" t="n"/>
    </row>
    <row r="458">
      <c r="A458" s="12" t="n"/>
      <c r="B458" s="7" t="n"/>
      <c r="C458" s="7" t="n"/>
      <c r="D458" s="7" t="n"/>
    </row>
    <row r="459">
      <c r="A459" s="12" t="n"/>
      <c r="B459" s="7" t="n"/>
      <c r="C459" s="7" t="n"/>
      <c r="D459" s="7" t="n"/>
    </row>
    <row r="460">
      <c r="A460" s="12" t="n"/>
      <c r="B460" s="7" t="n"/>
      <c r="C460" s="7" t="n"/>
      <c r="D460" s="7" t="n"/>
    </row>
    <row r="461">
      <c r="A461" s="12" t="n"/>
      <c r="B461" s="7" t="n"/>
      <c r="C461" s="7" t="n"/>
      <c r="D461" s="7" t="n"/>
    </row>
    <row r="462">
      <c r="A462" s="12" t="n"/>
      <c r="B462" s="7" t="n"/>
      <c r="C462" s="7" t="n"/>
      <c r="D462" s="7" t="n"/>
    </row>
    <row r="463">
      <c r="A463" s="12" t="n"/>
      <c r="B463" s="7" t="n"/>
      <c r="C463" s="7" t="n"/>
      <c r="D463" s="7" t="n"/>
    </row>
    <row r="464">
      <c r="A464" s="12" t="n"/>
      <c r="B464" s="7" t="n"/>
      <c r="C464" s="7" t="n"/>
      <c r="D464" s="7" t="n"/>
    </row>
    <row r="465">
      <c r="A465" s="12" t="n"/>
      <c r="B465" s="7" t="n"/>
      <c r="C465" s="7" t="n"/>
      <c r="D465" s="7" t="n"/>
    </row>
    <row r="466">
      <c r="A466" s="12" t="n"/>
      <c r="B466" s="7" t="n"/>
      <c r="C466" s="7" t="n"/>
      <c r="D466" s="7" t="n"/>
    </row>
    <row r="467">
      <c r="A467" s="12" t="n"/>
      <c r="B467" s="7" t="n"/>
      <c r="C467" s="7" t="n"/>
      <c r="D467" s="7" t="n"/>
    </row>
    <row r="468">
      <c r="A468" s="12" t="n"/>
      <c r="B468" s="7" t="n"/>
      <c r="C468" s="7" t="n"/>
      <c r="D468" s="7" t="n"/>
    </row>
    <row r="469">
      <c r="A469" s="12" t="n"/>
      <c r="B469" s="7" t="n"/>
      <c r="C469" s="7" t="n"/>
      <c r="D469" s="7" t="n"/>
    </row>
    <row r="470">
      <c r="A470" s="12" t="n"/>
      <c r="B470" s="7" t="n"/>
      <c r="C470" s="7" t="n"/>
      <c r="D470" s="7" t="n"/>
    </row>
    <row r="471">
      <c r="A471" s="12" t="n"/>
      <c r="B471" s="7" t="n"/>
      <c r="C471" s="7" t="n"/>
      <c r="D471" s="7" t="n"/>
    </row>
    <row r="472">
      <c r="A472" s="12" t="n"/>
      <c r="B472" s="7" t="n"/>
      <c r="C472" s="7" t="n"/>
      <c r="D472" s="7" t="n"/>
    </row>
    <row r="473">
      <c r="A473" s="12" t="n"/>
      <c r="B473" s="7" t="n"/>
      <c r="C473" s="7" t="n"/>
      <c r="D473" s="7" t="n"/>
    </row>
    <row r="474">
      <c r="A474" s="12" t="n"/>
      <c r="B474" s="7" t="n"/>
      <c r="C474" s="7" t="n"/>
      <c r="D474" s="7" t="n"/>
    </row>
    <row r="475">
      <c r="A475" s="12" t="n"/>
      <c r="B475" s="7" t="n"/>
      <c r="C475" s="7" t="n"/>
      <c r="D475" s="7" t="n"/>
    </row>
    <row r="476">
      <c r="A476" s="12" t="n"/>
      <c r="B476" s="7" t="n"/>
      <c r="C476" s="7" t="n"/>
      <c r="D476" s="7" t="n"/>
    </row>
    <row r="477">
      <c r="A477" s="12" t="n"/>
      <c r="B477" s="7" t="n"/>
      <c r="C477" s="7" t="n"/>
      <c r="D477" s="7" t="n"/>
    </row>
    <row r="478">
      <c r="A478" s="12" t="n"/>
      <c r="B478" s="7" t="n"/>
      <c r="C478" s="7" t="n"/>
      <c r="D478" s="7" t="n"/>
    </row>
    <row r="479">
      <c r="A479" s="12" t="n"/>
      <c r="B479" s="7" t="n"/>
      <c r="C479" s="7" t="n"/>
      <c r="D479" s="7" t="n"/>
    </row>
    <row r="480">
      <c r="A480" s="12" t="n"/>
      <c r="B480" s="7" t="n"/>
      <c r="C480" s="7" t="n"/>
      <c r="D480" s="7" t="n"/>
    </row>
    <row r="481">
      <c r="A481" s="12" t="n"/>
      <c r="B481" s="7" t="n"/>
      <c r="C481" s="7" t="n"/>
      <c r="D481" s="7" t="n"/>
    </row>
    <row r="482">
      <c r="A482" s="12" t="n"/>
      <c r="B482" s="7" t="n"/>
      <c r="C482" s="7" t="n"/>
      <c r="D482" s="7" t="n"/>
    </row>
    <row r="483">
      <c r="A483" s="12" t="n"/>
      <c r="B483" s="7" t="n"/>
      <c r="C483" s="7" t="n"/>
      <c r="D483" s="7" t="n"/>
    </row>
    <row r="484">
      <c r="A484" s="12" t="n"/>
      <c r="B484" s="7" t="n"/>
      <c r="C484" s="7" t="n"/>
      <c r="D484" s="7" t="n"/>
    </row>
    <row r="485">
      <c r="A485" s="12" t="n"/>
      <c r="B485" s="7" t="n"/>
      <c r="C485" s="7" t="n"/>
      <c r="D485" s="7" t="n"/>
    </row>
    <row r="486">
      <c r="A486" s="12" t="n"/>
      <c r="B486" s="7" t="n"/>
      <c r="C486" s="7" t="n"/>
      <c r="D486" s="7" t="n"/>
    </row>
    <row r="487">
      <c r="A487" s="12" t="n"/>
      <c r="B487" s="7" t="n"/>
      <c r="C487" s="7" t="n"/>
      <c r="D487" s="7" t="n"/>
    </row>
    <row r="488">
      <c r="A488" s="12" t="n"/>
      <c r="B488" s="7" t="n"/>
      <c r="C488" s="7" t="n"/>
      <c r="D488" s="7" t="n"/>
    </row>
    <row r="489">
      <c r="A489" s="12" t="n"/>
      <c r="B489" s="7" t="n"/>
      <c r="C489" s="7" t="n"/>
      <c r="D489" s="7" t="n"/>
    </row>
    <row r="490">
      <c r="A490" s="12" t="n"/>
      <c r="B490" s="7" t="n"/>
      <c r="C490" s="7" t="n"/>
      <c r="D490" s="7" t="n"/>
    </row>
    <row r="491">
      <c r="A491" s="12" t="n"/>
      <c r="B491" s="7" t="n"/>
      <c r="C491" s="7" t="n"/>
      <c r="D491" s="7" t="n"/>
    </row>
    <row r="492">
      <c r="A492" s="12" t="n"/>
      <c r="B492" s="7" t="n"/>
      <c r="C492" s="7" t="n"/>
      <c r="D492" s="7" t="n"/>
    </row>
    <row r="493">
      <c r="A493" s="12" t="n"/>
      <c r="B493" s="7" t="n"/>
      <c r="C493" s="7" t="n"/>
      <c r="D493" s="7" t="n"/>
    </row>
    <row r="494">
      <c r="A494" s="12" t="n"/>
      <c r="B494" s="7" t="n"/>
      <c r="C494" s="7" t="n"/>
      <c r="D494" s="7" t="n"/>
    </row>
    <row r="495">
      <c r="A495" s="12" t="n"/>
      <c r="B495" s="7" t="n"/>
      <c r="C495" s="7" t="n"/>
      <c r="D495" s="7" t="n"/>
    </row>
    <row r="496">
      <c r="A496" s="12" t="n"/>
      <c r="B496" s="7" t="n"/>
      <c r="C496" s="7" t="n"/>
      <c r="D496" s="7" t="n"/>
    </row>
    <row r="497">
      <c r="A497" s="12" t="n"/>
      <c r="B497" s="7" t="n"/>
      <c r="C497" s="7" t="n"/>
      <c r="D497" s="7" t="n"/>
    </row>
    <row r="498">
      <c r="A498" s="12" t="n"/>
      <c r="B498" s="7" t="n"/>
      <c r="C498" s="7" t="n"/>
      <c r="D498" s="7" t="n"/>
    </row>
    <row r="499">
      <c r="A499" s="12" t="n"/>
      <c r="B499" s="7" t="n"/>
      <c r="C499" s="7" t="n"/>
      <c r="D499" s="7" t="n"/>
    </row>
    <row r="500">
      <c r="A500" s="12" t="n"/>
      <c r="B500" s="7" t="n"/>
      <c r="C500" s="7" t="n"/>
      <c r="D500" s="7" t="n"/>
    </row>
    <row r="501">
      <c r="A501" s="12" t="n"/>
      <c r="B501" s="7" t="n"/>
      <c r="C501" s="7" t="n"/>
      <c r="D501" s="7" t="n"/>
    </row>
    <row r="502">
      <c r="A502" s="12" t="n"/>
      <c r="B502" s="7" t="n"/>
      <c r="C502" s="7" t="n"/>
      <c r="D502" s="7" t="n"/>
    </row>
    <row r="503">
      <c r="A503" s="12" t="n"/>
      <c r="B503" s="7" t="n"/>
      <c r="C503" s="7" t="n"/>
      <c r="D503" s="7" t="n"/>
    </row>
    <row r="504">
      <c r="A504" s="12" t="n"/>
      <c r="B504" s="7" t="n"/>
      <c r="C504" s="7" t="n"/>
      <c r="D504" s="7" t="n"/>
    </row>
  </sheetData>
  <mergeCells count="2">
    <mergeCell ref="A1:D1"/>
    <mergeCell ref="A2:D2"/>
  </mergeCells>
  <dataValidations count="1">
    <dataValidation sqref="B5:B504" showDropDown="0" showInputMessage="0" showErrorMessage="0" allowBlank="1" type="list">
      <formula1>ListaProductos</formula1>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D24"/>
  <sheetViews>
    <sheetView workbookViewId="0">
      <pane ySplit="6" topLeftCell="A7" activePane="bottomLeft" state="frozen"/>
      <selection pane="bottomLeft" activeCell="A1" sqref="A1"/>
    </sheetView>
  </sheetViews>
  <sheetFormatPr baseColWidth="8" defaultRowHeight="15"/>
  <cols>
    <col width="42" customWidth="1" min="1" max="1"/>
    <col width="14" customWidth="1" min="2" max="2"/>
    <col width="12" customWidth="1" min="3" max="3"/>
    <col width="14" customWidth="1" min="4" max="4"/>
  </cols>
  <sheetData>
    <row r="1">
      <c r="A1" s="14" t="inlineStr">
        <is>
          <t>💰 COSTOS - cuánto te cuesta fabricar cada producto</t>
        </is>
      </c>
    </row>
    <row r="2">
      <c r="A2" s="15" t="inlineStr">
        <is>
          <t>EJEMPLO con la Libreta A6 - 50 Hojas: elegí el producto en la celda amarilla, listá sus insumos y todo lo demás se calcula solo (cantidad desde RECETAS, costo desde INSUMOS). Copiá el bloque más abajo para tus otros productos.</t>
        </is>
      </c>
    </row>
    <row r="4">
      <c r="A4" s="19" t="inlineStr">
        <is>
          <t>Producto:</t>
        </is>
      </c>
      <c r="B4" s="7" t="inlineStr">
        <is>
          <t>Libreta A6 - 50 Hojas</t>
        </is>
      </c>
    </row>
    <row r="6">
      <c r="A6" s="4" t="inlineStr">
        <is>
          <t>Insumo</t>
        </is>
      </c>
      <c r="B6" s="4" t="inlineStr">
        <is>
          <t>Cantidad
por unidad</t>
        </is>
      </c>
      <c r="C6" s="4" t="inlineStr">
        <is>
          <t>Costo
unitario</t>
        </is>
      </c>
      <c r="D6" s="4" t="inlineStr">
        <is>
          <t>Subtotal</t>
        </is>
      </c>
    </row>
    <row r="7">
      <c r="A7" s="7" t="inlineStr">
        <is>
          <t>Papel foto adhesivo brillo</t>
        </is>
      </c>
      <c r="B7" s="8">
        <f>IF($A7="","",IFERROR(SUMIFS(RECETAS!$C:$C,RECETAS!$A:$A,$B$4,RECETAS!$B:$B,$A7),""))</f>
        <v/>
      </c>
      <c r="C7" s="10">
        <f>IF($A7="","",IFERROR(INDEX(INSUMOS!$K$5:$K$67,MATCH($A7,INSUMOS!$B$5:$B$67,0)),0))</f>
        <v/>
      </c>
      <c r="D7" s="10">
        <f>IF($A7="","",IFERROR(B7*C7,0))</f>
        <v/>
      </c>
    </row>
    <row r="8">
      <c r="A8" s="7" t="inlineStr">
        <is>
          <t>Laminado en frío A4 matte</t>
        </is>
      </c>
      <c r="B8" s="8">
        <f>IF($A8="","",IFERROR(SUMIFS(RECETAS!$C:$C,RECETAS!$A:$A,$B$4,RECETAS!$B:$B,$A8),""))</f>
        <v/>
      </c>
      <c r="C8" s="10">
        <f>IF($A8="","",IFERROR(INDEX(INSUMOS!$K$5:$K$67,MATCH($A8,INSUMOS!$B$5:$B$67,0)),0))</f>
        <v/>
      </c>
      <c r="D8" s="10">
        <f>IF($A8="","",IFERROR(B8*C8,0))</f>
        <v/>
      </c>
    </row>
    <row r="9">
      <c r="A9" s="7" t="inlineStr">
        <is>
          <t>Papel foto adhesivo matte</t>
        </is>
      </c>
      <c r="B9" s="8">
        <f>IF($A9="","",IFERROR(SUMIFS(RECETAS!$C:$C,RECETAS!$A:$A,$B$4,RECETAS!$B:$B,$A9),""))</f>
        <v/>
      </c>
      <c r="C9" s="10">
        <f>IF($A9="","",IFERROR(INDEX(INSUMOS!$K$5:$K$67,MATCH($A9,INSUMOS!$B$5:$B$67,0)),0))</f>
        <v/>
      </c>
      <c r="D9" s="10">
        <f>IF($A9="","",IFERROR(B9*C9,0))</f>
        <v/>
      </c>
    </row>
    <row r="10">
      <c r="A10" s="7" t="inlineStr">
        <is>
          <t>Cartón piedra A6</t>
        </is>
      </c>
      <c r="B10" s="8">
        <f>IF($A10="","",IFERROR(SUMIFS(RECETAS!$C:$C,RECETAS!$A:$A,$B$4,RECETAS!$B:$B,$A10),""))</f>
        <v/>
      </c>
      <c r="C10" s="10">
        <f>IF($A10="","",IFERROR(INDEX(INSUMOS!$K$5:$K$67,MATCH($A10,INSUMOS!$B$5:$B$67,0)),0))</f>
        <v/>
      </c>
      <c r="D10" s="10">
        <f>IF($A10="","",IFERROR(B10*C10,0))</f>
        <v/>
      </c>
    </row>
    <row r="11">
      <c r="A11" s="7" t="inlineStr">
        <is>
          <t>Papel bond A6 105 gr</t>
        </is>
      </c>
      <c r="B11" s="8">
        <f>IF($A11="","",IFERROR(SUMIFS(RECETAS!$C:$C,RECETAS!$A:$A,$B$4,RECETAS!$B:$B,$A11),""))</f>
        <v/>
      </c>
      <c r="C11" s="10">
        <f>IF($A11="","",IFERROR(INDEX(INSUMOS!$K$5:$K$67,MATCH($A11,INSUMOS!$B$5:$B$67,0)),0))</f>
        <v/>
      </c>
      <c r="D11" s="10">
        <f>IF($A11="","",IFERROR(B11*C11,0))</f>
        <v/>
      </c>
    </row>
    <row r="12">
      <c r="A12" s="7" t="inlineStr">
        <is>
          <t>Ojetillos</t>
        </is>
      </c>
      <c r="B12" s="8">
        <f>IF($A12="","",IFERROR(SUMIFS(RECETAS!$C:$C,RECETAS!$A:$A,$B$4,RECETAS!$B:$B,$A12),""))</f>
        <v/>
      </c>
      <c r="C12" s="10">
        <f>IF($A12="","",IFERROR(INDEX(INSUMOS!$K$5:$K$67,MATCH($A12,INSUMOS!$B$5:$B$67,0)),0))</f>
        <v/>
      </c>
      <c r="D12" s="10">
        <f>IF($A12="","",IFERROR(B12*C12,0))</f>
        <v/>
      </c>
    </row>
    <row r="13">
      <c r="A13" s="7" t="inlineStr">
        <is>
          <t>Elásticos</t>
        </is>
      </c>
      <c r="B13" s="8">
        <f>IF($A13="","",IFERROR(SUMIFS(RECETAS!$C:$C,RECETAS!$A:$A,$B$4,RECETAS!$B:$B,$A13),""))</f>
        <v/>
      </c>
      <c r="C13" s="10">
        <f>IF($A13="","",IFERROR(INDEX(INSUMOS!$K$5:$K$67,MATCH($A13,INSUMOS!$B$5:$B$67,0)),0))</f>
        <v/>
      </c>
      <c r="D13" s="10">
        <f>IF($A13="","",IFERROR(B13*C13,0))</f>
        <v/>
      </c>
    </row>
    <row r="14">
      <c r="A14" s="7" t="inlineStr">
        <is>
          <t>Anillos 16 mm (5/8")</t>
        </is>
      </c>
      <c r="B14" s="8">
        <f>IF($A14="","",IFERROR(SUMIFS(RECETAS!$C:$C,RECETAS!$A:$A,$B$4,RECETAS!$B:$B,$A14),""))</f>
        <v/>
      </c>
      <c r="C14" s="10">
        <f>IF($A14="","",IFERROR(INDEX(INSUMOS!$K$5:$K$67,MATCH($A14,INSUMOS!$B$5:$B$67,0)),0))</f>
        <v/>
      </c>
      <c r="D14" s="10">
        <f>IF($A14="","",IFERROR(B14*C14,0))</f>
        <v/>
      </c>
    </row>
    <row r="15">
      <c r="A15" s="7" t="n"/>
      <c r="B15" s="8">
        <f>IF($A15="","",IFERROR(SUMIFS(RECETAS!$C:$C,RECETAS!$A:$A,$B$4,RECETAS!$B:$B,$A15),""))</f>
        <v/>
      </c>
      <c r="C15" s="10">
        <f>IF($A15="","",IFERROR(INDEX(INSUMOS!$K$5:$K$67,MATCH($A15,INSUMOS!$B$5:$B$67,0)),0))</f>
        <v/>
      </c>
      <c r="D15" s="10">
        <f>IF($A15="","",IFERROR(B15*C15,0))</f>
        <v/>
      </c>
    </row>
    <row r="16">
      <c r="A16" s="7" t="n"/>
      <c r="B16" s="8">
        <f>IF($A16="","",IFERROR(SUMIFS(RECETAS!$C:$C,RECETAS!$A:$A,$B$4,RECETAS!$B:$B,$A16),""))</f>
        <v/>
      </c>
      <c r="C16" s="10">
        <f>IF($A16="","",IFERROR(INDEX(INSUMOS!$K$5:$K$67,MATCH($A16,INSUMOS!$B$5:$B$67,0)),0))</f>
        <v/>
      </c>
      <c r="D16" s="10">
        <f>IF($A16="","",IFERROR(B16*C16,0))</f>
        <v/>
      </c>
    </row>
    <row r="18">
      <c r="A18" s="19" t="inlineStr">
        <is>
          <t>Costo de insumos</t>
        </is>
      </c>
      <c r="D18" s="20">
        <f>SUM(D7:D16)</f>
        <v/>
      </c>
    </row>
    <row r="19">
      <c r="A19" s="8" t="inlineStr">
        <is>
          <t>Otros costos por unidad (tinta, luz, mano de obra…)</t>
        </is>
      </c>
      <c r="D19" s="9" t="n">
        <v>0</v>
      </c>
    </row>
    <row r="20">
      <c r="A20" s="19" t="inlineStr">
        <is>
          <t>COSTO TOTAL por unidad</t>
        </is>
      </c>
      <c r="D20" s="20">
        <f>D18+D19</f>
        <v/>
      </c>
    </row>
    <row r="21">
      <c r="A21" s="8" t="inlineStr">
        <is>
          <t>Multiplicador de venta (ej: 2,5 = cobrar 2,5 veces el costo)</t>
        </is>
      </c>
      <c r="D21" s="7" t="n">
        <v>2.5</v>
      </c>
    </row>
    <row r="22">
      <c r="A22" s="19" t="inlineStr">
        <is>
          <t>PRECIO SUGERIDO</t>
        </is>
      </c>
      <c r="D22" s="20">
        <f>IFERROR(ROUND(D20*D21,0),0)</f>
        <v/>
      </c>
    </row>
    <row r="24">
      <c r="A24" s="15" t="inlineStr">
        <is>
          <t>👇 Para otro producto: seleccioná A4:D22, copiá y pegá acá abajo, cambiá el producto y los insumos.</t>
        </is>
      </c>
    </row>
  </sheetData>
  <dataValidations count="2">
    <dataValidation sqref="B4" showDropDown="0" showInputMessage="0" showErrorMessage="0" allowBlank="1" type="list">
      <formula1>ListaProductos</formula1>
    </dataValidation>
    <dataValidation sqref="A7:A16" showDropDown="0" showInputMessage="0" showErrorMessage="0" allowBlank="1" type="list">
      <formula1>ListaInsumos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4" customWidth="1" min="5" max="5"/>
    <col width="11" customWidth="1" min="6" max="6"/>
    <col width="13" customWidth="1" min="7" max="7"/>
    <col width="12" customWidth="1" min="8" max="8"/>
    <col width="9" customWidth="1" min="9" max="9"/>
    <col width="38" customWidth="1" min="10" max="10"/>
  </cols>
  <sheetData>
    <row r="1">
      <c r="A1" s="14" t="inlineStr">
        <is>
          <t>🏷️ PRECIOS - costo, precio de venta, IVA y ganancia por producto</t>
        </is>
      </c>
    </row>
    <row r="2">
      <c r="A2" s="15" t="inlineStr">
        <is>
          <t>Los productos y su costo de insumos se traen solos (si sube el precio de un insumo, el costo sube solo). Vos llenás lo amarillo: otros costos y el precio de venta (con IVA incluido).</t>
        </is>
      </c>
    </row>
    <row r="3">
      <c r="A3" s="15" t="inlineStr">
        <is>
          <t>IVA aplicado (editable) →</t>
        </is>
      </c>
      <c r="B3" s="21" t="n">
        <v>0.19</v>
      </c>
    </row>
    <row r="4">
      <c r="A4" s="4" t="inlineStr">
        <is>
          <t>Producto</t>
        </is>
      </c>
      <c r="B4" s="4" t="inlineStr">
        <is>
          <t>Costo
insumos</t>
        </is>
      </c>
      <c r="C4" s="4" t="inlineStr">
        <is>
          <t>Otros
costos</t>
        </is>
      </c>
      <c r="D4" s="4" t="inlineStr">
        <is>
          <t>Costo
total</t>
        </is>
      </c>
      <c r="E4" s="4" t="inlineStr">
        <is>
          <t>Precio de
venta (c/IVA)</t>
        </is>
      </c>
      <c r="F4" s="4" t="inlineStr">
        <is>
          <t>IVA
incluido</t>
        </is>
      </c>
      <c r="G4" s="4" t="inlineStr">
        <is>
          <t>Precio neto
(sin IVA)</t>
        </is>
      </c>
      <c r="H4" s="4" t="inlineStr">
        <is>
          <t>Ganancia
por unidad</t>
        </is>
      </c>
      <c r="I4" s="4" t="inlineStr">
        <is>
          <t>Margen
%</t>
        </is>
      </c>
      <c r="J4" s="4" t="inlineStr">
        <is>
          <t>Notas</t>
        </is>
      </c>
    </row>
    <row r="5">
      <c r="A5" s="8">
        <f>IF(PRODUCTOS!B5="","",PRODUCTOS!B5)</f>
        <v/>
      </c>
      <c r="B5" s="10">
        <f>IF($A5="","",SUMIFS(RECETAS!$F:$F,RECETAS!$A:$A,$A5))</f>
        <v/>
      </c>
      <c r="C5" s="9" t="n"/>
      <c r="D5" s="10">
        <f>IF($A5="","",B5+IF(C5="",0,C5))</f>
        <v/>
      </c>
      <c r="E5" s="9" t="n">
        <v>5000</v>
      </c>
      <c r="F5" s="10">
        <f>IF(OR($A5="",$E5=""),"",ROUND($E5-$E5/(1+$B$3),0))</f>
        <v/>
      </c>
      <c r="G5" s="10">
        <f>IF(OR($A5="",$E5=""),"",ROUND($E5/(1+$B$3),0))</f>
        <v/>
      </c>
      <c r="H5" s="10">
        <f>IF(OR($A5="",$E5=""),"",G5-D5)</f>
        <v/>
      </c>
      <c r="I5" s="22">
        <f>IF(OR($A5="",$E5="",$E5=0),"",H5/G5)</f>
        <v/>
      </c>
      <c r="J5" s="7" t="inlineStr">
        <is>
          <t>EJEMPLO: borrá este precio y poné el tuyo.</t>
        </is>
      </c>
    </row>
    <row r="6">
      <c r="A6" s="8">
        <f>IF(PRODUCTOS!B6="","",PRODUCTOS!B6)</f>
        <v/>
      </c>
      <c r="B6" s="10">
        <f>IF($A6="","",SUMIFS(RECETAS!$F:$F,RECETAS!$A:$A,$A6))</f>
        <v/>
      </c>
      <c r="C6" s="9" t="n"/>
      <c r="D6" s="10">
        <f>IF($A6="","",B6+IF(C6="",0,C6))</f>
        <v/>
      </c>
      <c r="E6" s="9" t="n"/>
      <c r="F6" s="10">
        <f>IF(OR($A6="",$E6=""),"",ROUND($E6-$E6/(1+$B$3),0))</f>
        <v/>
      </c>
      <c r="G6" s="10">
        <f>IF(OR($A6="",$E6=""),"",ROUND($E6/(1+$B$3),0))</f>
        <v/>
      </c>
      <c r="H6" s="10">
        <f>IF(OR($A6="",$E6=""),"",G6-D6)</f>
        <v/>
      </c>
      <c r="I6" s="22">
        <f>IF(OR($A6="",$E6="",$E6=0),"",H6/G6)</f>
        <v/>
      </c>
      <c r="J6" s="7" t="n"/>
    </row>
    <row r="7">
      <c r="A7" s="8">
        <f>IF(PRODUCTOS!B7="","",PRODUCTOS!B7)</f>
        <v/>
      </c>
      <c r="B7" s="10">
        <f>IF($A7="","",SUMIFS(RECETAS!$F:$F,RECETAS!$A:$A,$A7))</f>
        <v/>
      </c>
      <c r="C7" s="9" t="n"/>
      <c r="D7" s="10">
        <f>IF($A7="","",B7+IF(C7="",0,C7))</f>
        <v/>
      </c>
      <c r="E7" s="9" t="n"/>
      <c r="F7" s="10">
        <f>IF(OR($A7="",$E7=""),"",ROUND($E7-$E7/(1+$B$3),0))</f>
        <v/>
      </c>
      <c r="G7" s="10">
        <f>IF(OR($A7="",$E7=""),"",ROUND($E7/(1+$B$3),0))</f>
        <v/>
      </c>
      <c r="H7" s="10">
        <f>IF(OR($A7="",$E7=""),"",G7-D7)</f>
        <v/>
      </c>
      <c r="I7" s="22">
        <f>IF(OR($A7="",$E7="",$E7=0),"",H7/G7)</f>
        <v/>
      </c>
      <c r="J7" s="7" t="n"/>
    </row>
    <row r="8">
      <c r="A8" s="8">
        <f>IF(PRODUCTOS!B8="","",PRODUCTOS!B8)</f>
        <v/>
      </c>
      <c r="B8" s="10">
        <f>IF($A8="","",SUMIFS(RECETAS!$F:$F,RECETAS!$A:$A,$A8))</f>
        <v/>
      </c>
      <c r="C8" s="9" t="n"/>
      <c r="D8" s="10">
        <f>IF($A8="","",B8+IF(C8="",0,C8))</f>
        <v/>
      </c>
      <c r="E8" s="9" t="n"/>
      <c r="F8" s="10">
        <f>IF(OR($A8="",$E8=""),"",ROUND($E8-$E8/(1+$B$3),0))</f>
        <v/>
      </c>
      <c r="G8" s="10">
        <f>IF(OR($A8="",$E8=""),"",ROUND($E8/(1+$B$3),0))</f>
        <v/>
      </c>
      <c r="H8" s="10">
        <f>IF(OR($A8="",$E8=""),"",G8-D8)</f>
        <v/>
      </c>
      <c r="I8" s="22">
        <f>IF(OR($A8="",$E8="",$E8=0),"",H8/G8)</f>
        <v/>
      </c>
      <c r="J8" s="7" t="n"/>
    </row>
    <row r="9">
      <c r="A9" s="8">
        <f>IF(PRODUCTOS!B9="","",PRODUCTOS!B9)</f>
        <v/>
      </c>
      <c r="B9" s="10">
        <f>IF($A9="","",SUMIFS(RECETAS!$F:$F,RECETAS!$A:$A,$A9))</f>
        <v/>
      </c>
      <c r="C9" s="9" t="n"/>
      <c r="D9" s="10">
        <f>IF($A9="","",B9+IF(C9="",0,C9))</f>
        <v/>
      </c>
      <c r="E9" s="9" t="n"/>
      <c r="F9" s="10">
        <f>IF(OR($A9="",$E9=""),"",ROUND($E9-$E9/(1+$B$3),0))</f>
        <v/>
      </c>
      <c r="G9" s="10">
        <f>IF(OR($A9="",$E9=""),"",ROUND($E9/(1+$B$3),0))</f>
        <v/>
      </c>
      <c r="H9" s="10">
        <f>IF(OR($A9="",$E9=""),"",G9-D9)</f>
        <v/>
      </c>
      <c r="I9" s="22">
        <f>IF(OR($A9="",$E9="",$E9=0),"",H9/G9)</f>
        <v/>
      </c>
      <c r="J9" s="7" t="n"/>
    </row>
    <row r="10">
      <c r="A10" s="8">
        <f>IF(PRODUCTOS!B10="","",PRODUCTOS!B10)</f>
        <v/>
      </c>
      <c r="B10" s="10">
        <f>IF($A10="","",SUMIFS(RECETAS!$F:$F,RECETAS!$A:$A,$A10))</f>
        <v/>
      </c>
      <c r="C10" s="9" t="n"/>
      <c r="D10" s="10">
        <f>IF($A10="","",B10+IF(C10="",0,C10))</f>
        <v/>
      </c>
      <c r="E10" s="9" t="n"/>
      <c r="F10" s="10">
        <f>IF(OR($A10="",$E10=""),"",ROUND($E10-$E10/(1+$B$3),0))</f>
        <v/>
      </c>
      <c r="G10" s="10">
        <f>IF(OR($A10="",$E10=""),"",ROUND($E10/(1+$B$3),0))</f>
        <v/>
      </c>
      <c r="H10" s="10">
        <f>IF(OR($A10="",$E10=""),"",G10-D10)</f>
        <v/>
      </c>
      <c r="I10" s="22">
        <f>IF(OR($A10="",$E10="",$E10=0),"",H10/G10)</f>
        <v/>
      </c>
      <c r="J10" s="7" t="n"/>
    </row>
    <row r="11">
      <c r="A11" s="8">
        <f>IF(PRODUCTOS!B11="","",PRODUCTOS!B11)</f>
        <v/>
      </c>
      <c r="B11" s="10">
        <f>IF($A11="","",SUMIFS(RECETAS!$F:$F,RECETAS!$A:$A,$A11))</f>
        <v/>
      </c>
      <c r="C11" s="9" t="n"/>
      <c r="D11" s="10">
        <f>IF($A11="","",B11+IF(C11="",0,C11))</f>
        <v/>
      </c>
      <c r="E11" s="9" t="n"/>
      <c r="F11" s="10">
        <f>IF(OR($A11="",$E11=""),"",ROUND($E11-$E11/(1+$B$3),0))</f>
        <v/>
      </c>
      <c r="G11" s="10">
        <f>IF(OR($A11="",$E11=""),"",ROUND($E11/(1+$B$3),0))</f>
        <v/>
      </c>
      <c r="H11" s="10">
        <f>IF(OR($A11="",$E11=""),"",G11-D11)</f>
        <v/>
      </c>
      <c r="I11" s="22">
        <f>IF(OR($A11="",$E11="",$E11=0),"",H11/G11)</f>
        <v/>
      </c>
      <c r="J11" s="7" t="n"/>
    </row>
    <row r="12">
      <c r="A12" s="8">
        <f>IF(PRODUCTOS!B12="","",PRODUCTOS!B12)</f>
        <v/>
      </c>
      <c r="B12" s="10">
        <f>IF($A12="","",SUMIFS(RECETAS!$F:$F,RECETAS!$A:$A,$A12))</f>
        <v/>
      </c>
      <c r="C12" s="9" t="n"/>
      <c r="D12" s="10">
        <f>IF($A12="","",B12+IF(C12="",0,C12))</f>
        <v/>
      </c>
      <c r="E12" s="9" t="n"/>
      <c r="F12" s="10">
        <f>IF(OR($A12="",$E12=""),"",ROUND($E12-$E12/(1+$B$3),0))</f>
        <v/>
      </c>
      <c r="G12" s="10">
        <f>IF(OR($A12="",$E12=""),"",ROUND($E12/(1+$B$3),0))</f>
        <v/>
      </c>
      <c r="H12" s="10">
        <f>IF(OR($A12="",$E12=""),"",G12-D12)</f>
        <v/>
      </c>
      <c r="I12" s="22">
        <f>IF(OR($A12="",$E12="",$E12=0),"",H12/G12)</f>
        <v/>
      </c>
      <c r="J12" s="7" t="n"/>
    </row>
    <row r="13">
      <c r="A13" s="8">
        <f>IF(PRODUCTOS!B13="","",PRODUCTOS!B13)</f>
        <v/>
      </c>
      <c r="B13" s="10">
        <f>IF($A13="","",SUMIFS(RECETAS!$F:$F,RECETAS!$A:$A,$A13))</f>
        <v/>
      </c>
      <c r="C13" s="9" t="n"/>
      <c r="D13" s="10">
        <f>IF($A13="","",B13+IF(C13="",0,C13))</f>
        <v/>
      </c>
      <c r="E13" s="9" t="n"/>
      <c r="F13" s="10">
        <f>IF(OR($A13="",$E13=""),"",ROUND($E13-$E13/(1+$B$3),0))</f>
        <v/>
      </c>
      <c r="G13" s="10">
        <f>IF(OR($A13="",$E13=""),"",ROUND($E13/(1+$B$3),0))</f>
        <v/>
      </c>
      <c r="H13" s="10">
        <f>IF(OR($A13="",$E13=""),"",G13-D13)</f>
        <v/>
      </c>
      <c r="I13" s="22">
        <f>IF(OR($A13="",$E13="",$E13=0),"",H13/G13)</f>
        <v/>
      </c>
      <c r="J13" s="7" t="n"/>
    </row>
    <row r="14">
      <c r="A14" s="8">
        <f>IF(PRODUCTOS!B14="","",PRODUCTOS!B14)</f>
        <v/>
      </c>
      <c r="B14" s="10">
        <f>IF($A14="","",SUMIFS(RECETAS!$F:$F,RECETAS!$A:$A,$A14))</f>
        <v/>
      </c>
      <c r="C14" s="9" t="n"/>
      <c r="D14" s="10">
        <f>IF($A14="","",B14+IF(C14="",0,C14))</f>
        <v/>
      </c>
      <c r="E14" s="9" t="n"/>
      <c r="F14" s="10">
        <f>IF(OR($A14="",$E14=""),"",ROUND($E14-$E14/(1+$B$3),0))</f>
        <v/>
      </c>
      <c r="G14" s="10">
        <f>IF(OR($A14="",$E14=""),"",ROUND($E14/(1+$B$3),0))</f>
        <v/>
      </c>
      <c r="H14" s="10">
        <f>IF(OR($A14="",$E14=""),"",G14-D14)</f>
        <v/>
      </c>
      <c r="I14" s="22">
        <f>IF(OR($A14="",$E14="",$E14=0),"",H14/G14)</f>
        <v/>
      </c>
      <c r="J14" s="7" t="n"/>
    </row>
    <row r="15">
      <c r="A15" s="8">
        <f>IF(PRODUCTOS!B15="","",PRODUCTOS!B15)</f>
        <v/>
      </c>
      <c r="B15" s="10">
        <f>IF($A15="","",SUMIFS(RECETAS!$F:$F,RECETAS!$A:$A,$A15))</f>
        <v/>
      </c>
      <c r="C15" s="9" t="n"/>
      <c r="D15" s="10">
        <f>IF($A15="","",B15+IF(C15="",0,C15))</f>
        <v/>
      </c>
      <c r="E15" s="9" t="n"/>
      <c r="F15" s="10">
        <f>IF(OR($A15="",$E15=""),"",ROUND($E15-$E15/(1+$B$3),0))</f>
        <v/>
      </c>
      <c r="G15" s="10">
        <f>IF(OR($A15="",$E15=""),"",ROUND($E15/(1+$B$3),0))</f>
        <v/>
      </c>
      <c r="H15" s="10">
        <f>IF(OR($A15="",$E15=""),"",G15-D15)</f>
        <v/>
      </c>
      <c r="I15" s="22">
        <f>IF(OR($A15="",$E15="",$E15=0),"",H15/G15)</f>
        <v/>
      </c>
      <c r="J15" s="7" t="n"/>
    </row>
    <row r="16">
      <c r="A16" s="8">
        <f>IF(PRODUCTOS!B16="","",PRODUCTOS!B16)</f>
        <v/>
      </c>
      <c r="B16" s="10">
        <f>IF($A16="","",SUMIFS(RECETAS!$F:$F,RECETAS!$A:$A,$A16))</f>
        <v/>
      </c>
      <c r="C16" s="9" t="n"/>
      <c r="D16" s="10">
        <f>IF($A16="","",B16+IF(C16="",0,C16))</f>
        <v/>
      </c>
      <c r="E16" s="9" t="n"/>
      <c r="F16" s="10">
        <f>IF(OR($A16="",$E16=""),"",ROUND($E16-$E16/(1+$B$3),0))</f>
        <v/>
      </c>
      <c r="G16" s="10">
        <f>IF(OR($A16="",$E16=""),"",ROUND($E16/(1+$B$3),0))</f>
        <v/>
      </c>
      <c r="H16" s="10">
        <f>IF(OR($A16="",$E16=""),"",G16-D16)</f>
        <v/>
      </c>
      <c r="I16" s="22">
        <f>IF(OR($A16="",$E16="",$E16=0),"",H16/G16)</f>
        <v/>
      </c>
      <c r="J16" s="7" t="n"/>
    </row>
    <row r="17">
      <c r="A17" s="8">
        <f>IF(PRODUCTOS!B17="","",PRODUCTOS!B17)</f>
        <v/>
      </c>
      <c r="B17" s="10">
        <f>IF($A17="","",SUMIFS(RECETAS!$F:$F,RECETAS!$A:$A,$A17))</f>
        <v/>
      </c>
      <c r="C17" s="9" t="n"/>
      <c r="D17" s="10">
        <f>IF($A17="","",B17+IF(C17="",0,C17))</f>
        <v/>
      </c>
      <c r="E17" s="9" t="n"/>
      <c r="F17" s="10">
        <f>IF(OR($A17="",$E17=""),"",ROUND($E17-$E17/(1+$B$3),0))</f>
        <v/>
      </c>
      <c r="G17" s="10">
        <f>IF(OR($A17="",$E17=""),"",ROUND($E17/(1+$B$3),0))</f>
        <v/>
      </c>
      <c r="H17" s="10">
        <f>IF(OR($A17="",$E17=""),"",G17-D17)</f>
        <v/>
      </c>
      <c r="I17" s="22">
        <f>IF(OR($A17="",$E17="",$E17=0),"",H17/G17)</f>
        <v/>
      </c>
      <c r="J17" s="7" t="n"/>
    </row>
    <row r="18">
      <c r="A18" s="8">
        <f>IF(PRODUCTOS!B18="","",PRODUCTOS!B18)</f>
        <v/>
      </c>
      <c r="B18" s="10">
        <f>IF($A18="","",SUMIFS(RECETAS!$F:$F,RECETAS!$A:$A,$A18))</f>
        <v/>
      </c>
      <c r="C18" s="9" t="n"/>
      <c r="D18" s="10">
        <f>IF($A18="","",B18+IF(C18="",0,C18))</f>
        <v/>
      </c>
      <c r="E18" s="9" t="n"/>
      <c r="F18" s="10">
        <f>IF(OR($A18="",$E18=""),"",ROUND($E18-$E18/(1+$B$3),0))</f>
        <v/>
      </c>
      <c r="G18" s="10">
        <f>IF(OR($A18="",$E18=""),"",ROUND($E18/(1+$B$3),0))</f>
        <v/>
      </c>
      <c r="H18" s="10">
        <f>IF(OR($A18="",$E18=""),"",G18-D18)</f>
        <v/>
      </c>
      <c r="I18" s="22">
        <f>IF(OR($A18="",$E18="",$E18=0),"",H18/G18)</f>
        <v/>
      </c>
      <c r="J18" s="7" t="n"/>
    </row>
    <row r="19">
      <c r="A19" s="8">
        <f>IF(PRODUCTOS!B19="","",PRODUCTOS!B19)</f>
        <v/>
      </c>
      <c r="B19" s="10">
        <f>IF($A19="","",SUMIFS(RECETAS!$F:$F,RECETAS!$A:$A,$A19))</f>
        <v/>
      </c>
      <c r="C19" s="9" t="n"/>
      <c r="D19" s="10">
        <f>IF($A19="","",B19+IF(C19="",0,C19))</f>
        <v/>
      </c>
      <c r="E19" s="9" t="n"/>
      <c r="F19" s="10">
        <f>IF(OR($A19="",$E19=""),"",ROUND($E19-$E19/(1+$B$3),0))</f>
        <v/>
      </c>
      <c r="G19" s="10">
        <f>IF(OR($A19="",$E19=""),"",ROUND($E19/(1+$B$3),0))</f>
        <v/>
      </c>
      <c r="H19" s="10">
        <f>IF(OR($A19="",$E19=""),"",G19-D19)</f>
        <v/>
      </c>
      <c r="I19" s="22">
        <f>IF(OR($A19="",$E19="",$E19=0),"",H19/G19)</f>
        <v/>
      </c>
      <c r="J19" s="7" t="n"/>
    </row>
    <row r="20">
      <c r="A20" s="8">
        <f>IF(PRODUCTOS!B20="","",PRODUCTOS!B20)</f>
        <v/>
      </c>
      <c r="B20" s="10">
        <f>IF($A20="","",SUMIFS(RECETAS!$F:$F,RECETAS!$A:$A,$A20))</f>
        <v/>
      </c>
      <c r="C20" s="9" t="n"/>
      <c r="D20" s="10">
        <f>IF($A20="","",B20+IF(C20="",0,C20))</f>
        <v/>
      </c>
      <c r="E20" s="9" t="n"/>
      <c r="F20" s="10">
        <f>IF(OR($A20="",$E20=""),"",ROUND($E20-$E20/(1+$B$3),0))</f>
        <v/>
      </c>
      <c r="G20" s="10">
        <f>IF(OR($A20="",$E20=""),"",ROUND($E20/(1+$B$3),0))</f>
        <v/>
      </c>
      <c r="H20" s="10">
        <f>IF(OR($A20="",$E20=""),"",G20-D20)</f>
        <v/>
      </c>
      <c r="I20" s="22">
        <f>IF(OR($A20="",$E20="",$E20=0),"",H20/G20)</f>
        <v/>
      </c>
      <c r="J20" s="7" t="n"/>
    </row>
    <row r="21">
      <c r="A21" s="8">
        <f>IF(PRODUCTOS!B21="","",PRODUCTOS!B21)</f>
        <v/>
      </c>
      <c r="B21" s="10">
        <f>IF($A21="","",SUMIFS(RECETAS!$F:$F,RECETAS!$A:$A,$A21))</f>
        <v/>
      </c>
      <c r="C21" s="9" t="n"/>
      <c r="D21" s="10">
        <f>IF($A21="","",B21+IF(C21="",0,C21))</f>
        <v/>
      </c>
      <c r="E21" s="9" t="n"/>
      <c r="F21" s="10">
        <f>IF(OR($A21="",$E21=""),"",ROUND($E21-$E21/(1+$B$3),0))</f>
        <v/>
      </c>
      <c r="G21" s="10">
        <f>IF(OR($A21="",$E21=""),"",ROUND($E21/(1+$B$3),0))</f>
        <v/>
      </c>
      <c r="H21" s="10">
        <f>IF(OR($A21="",$E21=""),"",G21-D21)</f>
        <v/>
      </c>
      <c r="I21" s="22">
        <f>IF(OR($A21="",$E21="",$E21=0),"",H21/G21)</f>
        <v/>
      </c>
      <c r="J21" s="7" t="n"/>
    </row>
    <row r="22">
      <c r="A22" s="8">
        <f>IF(PRODUCTOS!B22="","",PRODUCTOS!B22)</f>
        <v/>
      </c>
      <c r="B22" s="10">
        <f>IF($A22="","",SUMIFS(RECETAS!$F:$F,RECETAS!$A:$A,$A22))</f>
        <v/>
      </c>
      <c r="C22" s="9" t="n"/>
      <c r="D22" s="10">
        <f>IF($A22="","",B22+IF(C22="",0,C22))</f>
        <v/>
      </c>
      <c r="E22" s="9" t="n"/>
      <c r="F22" s="10">
        <f>IF(OR($A22="",$E22=""),"",ROUND($E22-$E22/(1+$B$3),0))</f>
        <v/>
      </c>
      <c r="G22" s="10">
        <f>IF(OR($A22="",$E22=""),"",ROUND($E22/(1+$B$3),0))</f>
        <v/>
      </c>
      <c r="H22" s="10">
        <f>IF(OR($A22="",$E22=""),"",G22-D22)</f>
        <v/>
      </c>
      <c r="I22" s="22">
        <f>IF(OR($A22="",$E22="",$E22=0),"",H22/G22)</f>
        <v/>
      </c>
      <c r="J22" s="7" t="n"/>
    </row>
    <row r="23">
      <c r="A23" s="8">
        <f>IF(PRODUCTOS!B23="","",PRODUCTOS!B23)</f>
        <v/>
      </c>
      <c r="B23" s="10">
        <f>IF($A23="","",SUMIFS(RECETAS!$F:$F,RECETAS!$A:$A,$A23))</f>
        <v/>
      </c>
      <c r="C23" s="9" t="n"/>
      <c r="D23" s="10">
        <f>IF($A23="","",B23+IF(C23="",0,C23))</f>
        <v/>
      </c>
      <c r="E23" s="9" t="n"/>
      <c r="F23" s="10">
        <f>IF(OR($A23="",$E23=""),"",ROUND($E23-$E23/(1+$B$3),0))</f>
        <v/>
      </c>
      <c r="G23" s="10">
        <f>IF(OR($A23="",$E23=""),"",ROUND($E23/(1+$B$3),0))</f>
        <v/>
      </c>
      <c r="H23" s="10">
        <f>IF(OR($A23="",$E23=""),"",G23-D23)</f>
        <v/>
      </c>
      <c r="I23" s="22">
        <f>IF(OR($A23="",$E23="",$E23=0),"",H23/G23)</f>
        <v/>
      </c>
      <c r="J23" s="7" t="n"/>
    </row>
    <row r="24">
      <c r="A24" s="8">
        <f>IF(PRODUCTOS!B24="","",PRODUCTOS!B24)</f>
        <v/>
      </c>
      <c r="B24" s="10">
        <f>IF($A24="","",SUMIFS(RECETAS!$F:$F,RECETAS!$A:$A,$A24))</f>
        <v/>
      </c>
      <c r="C24" s="9" t="n"/>
      <c r="D24" s="10">
        <f>IF($A24="","",B24+IF(C24="",0,C24))</f>
        <v/>
      </c>
      <c r="E24" s="9" t="n"/>
      <c r="F24" s="10">
        <f>IF(OR($A24="",$E24=""),"",ROUND($E24-$E24/(1+$B$3),0))</f>
        <v/>
      </c>
      <c r="G24" s="10">
        <f>IF(OR($A24="",$E24=""),"",ROUND($E24/(1+$B$3),0))</f>
        <v/>
      </c>
      <c r="H24" s="10">
        <f>IF(OR($A24="",$E24=""),"",G24-D24)</f>
        <v/>
      </c>
      <c r="I24" s="22">
        <f>IF(OR($A24="",$E24="",$E24=0),"",H24/G24)</f>
        <v/>
      </c>
      <c r="J24" s="7" t="n"/>
    </row>
    <row r="25">
      <c r="A25" s="8">
        <f>IF(PRODUCTOS!B25="","",PRODUCTOS!B25)</f>
        <v/>
      </c>
      <c r="B25" s="10">
        <f>IF($A25="","",SUMIFS(RECETAS!$F:$F,RECETAS!$A:$A,$A25))</f>
        <v/>
      </c>
      <c r="C25" s="9" t="n"/>
      <c r="D25" s="10">
        <f>IF($A25="","",B25+IF(C25="",0,C25))</f>
        <v/>
      </c>
      <c r="E25" s="9" t="n"/>
      <c r="F25" s="10">
        <f>IF(OR($A25="",$E25=""),"",ROUND($E25-$E25/(1+$B$3),0))</f>
        <v/>
      </c>
      <c r="G25" s="10">
        <f>IF(OR($A25="",$E25=""),"",ROUND($E25/(1+$B$3),0))</f>
        <v/>
      </c>
      <c r="H25" s="10">
        <f>IF(OR($A25="",$E25=""),"",G25-D25)</f>
        <v/>
      </c>
      <c r="I25" s="22">
        <f>IF(OR($A25="",$E25="",$E25=0),"",H25/G25)</f>
        <v/>
      </c>
      <c r="J25" s="7" t="n"/>
    </row>
    <row r="26">
      <c r="A26" s="8">
        <f>IF(PRODUCTOS!B26="","",PRODUCTOS!B26)</f>
        <v/>
      </c>
      <c r="B26" s="10">
        <f>IF($A26="","",SUMIFS(RECETAS!$F:$F,RECETAS!$A:$A,$A26))</f>
        <v/>
      </c>
      <c r="C26" s="9" t="n"/>
      <c r="D26" s="10">
        <f>IF($A26="","",B26+IF(C26="",0,C26))</f>
        <v/>
      </c>
      <c r="E26" s="9" t="n"/>
      <c r="F26" s="10">
        <f>IF(OR($A26="",$E26=""),"",ROUND($E26-$E26/(1+$B$3),0))</f>
        <v/>
      </c>
      <c r="G26" s="10">
        <f>IF(OR($A26="",$E26=""),"",ROUND($E26/(1+$B$3),0))</f>
        <v/>
      </c>
      <c r="H26" s="10">
        <f>IF(OR($A26="",$E26=""),"",G26-D26)</f>
        <v/>
      </c>
      <c r="I26" s="22">
        <f>IF(OR($A26="",$E26="",$E26=0),"",H26/G26)</f>
        <v/>
      </c>
      <c r="J26" s="7" t="n"/>
    </row>
    <row r="27">
      <c r="A27" s="8">
        <f>IF(PRODUCTOS!B27="","",PRODUCTOS!B27)</f>
        <v/>
      </c>
      <c r="B27" s="10">
        <f>IF($A27="","",SUMIFS(RECETAS!$F:$F,RECETAS!$A:$A,$A27))</f>
        <v/>
      </c>
      <c r="C27" s="9" t="n"/>
      <c r="D27" s="10">
        <f>IF($A27="","",B27+IF(C27="",0,C27))</f>
        <v/>
      </c>
      <c r="E27" s="9" t="n"/>
      <c r="F27" s="10">
        <f>IF(OR($A27="",$E27=""),"",ROUND($E27-$E27/(1+$B$3),0))</f>
        <v/>
      </c>
      <c r="G27" s="10">
        <f>IF(OR($A27="",$E27=""),"",ROUND($E27/(1+$B$3),0))</f>
        <v/>
      </c>
      <c r="H27" s="10">
        <f>IF(OR($A27="",$E27=""),"",G27-D27)</f>
        <v/>
      </c>
      <c r="I27" s="22">
        <f>IF(OR($A27="",$E27="",$E27=0),"",H27/G27)</f>
        <v/>
      </c>
      <c r="J27" s="7" t="n"/>
    </row>
    <row r="28">
      <c r="A28" s="8">
        <f>IF(PRODUCTOS!B28="","",PRODUCTOS!B28)</f>
        <v/>
      </c>
      <c r="B28" s="10">
        <f>IF($A28="","",SUMIFS(RECETAS!$F:$F,RECETAS!$A:$A,$A28))</f>
        <v/>
      </c>
      <c r="C28" s="9" t="n"/>
      <c r="D28" s="10">
        <f>IF($A28="","",B28+IF(C28="",0,C28))</f>
        <v/>
      </c>
      <c r="E28" s="9" t="n"/>
      <c r="F28" s="10">
        <f>IF(OR($A28="",$E28=""),"",ROUND($E28-$E28/(1+$B$3),0))</f>
        <v/>
      </c>
      <c r="G28" s="10">
        <f>IF(OR($A28="",$E28=""),"",ROUND($E28/(1+$B$3),0))</f>
        <v/>
      </c>
      <c r="H28" s="10">
        <f>IF(OR($A28="",$E28=""),"",G28-D28)</f>
        <v/>
      </c>
      <c r="I28" s="22">
        <f>IF(OR($A28="",$E28="",$E28=0),"",H28/G28)</f>
        <v/>
      </c>
      <c r="J28" s="7" t="n"/>
    </row>
    <row r="29">
      <c r="A29" s="8">
        <f>IF(PRODUCTOS!B29="","",PRODUCTOS!B29)</f>
        <v/>
      </c>
      <c r="B29" s="10">
        <f>IF($A29="","",SUMIFS(RECETAS!$F:$F,RECETAS!$A:$A,$A29))</f>
        <v/>
      </c>
      <c r="C29" s="9" t="n"/>
      <c r="D29" s="10">
        <f>IF($A29="","",B29+IF(C29="",0,C29))</f>
        <v/>
      </c>
      <c r="E29" s="9" t="n"/>
      <c r="F29" s="10">
        <f>IF(OR($A29="",$E29=""),"",ROUND($E29-$E29/(1+$B$3),0))</f>
        <v/>
      </c>
      <c r="G29" s="10">
        <f>IF(OR($A29="",$E29=""),"",ROUND($E29/(1+$B$3),0))</f>
        <v/>
      </c>
      <c r="H29" s="10">
        <f>IF(OR($A29="",$E29=""),"",G29-D29)</f>
        <v/>
      </c>
      <c r="I29" s="22">
        <f>IF(OR($A29="",$E29="",$E29=0),"",H29/G29)</f>
        <v/>
      </c>
      <c r="J29" s="7" t="n"/>
    </row>
    <row r="30">
      <c r="A30" s="8">
        <f>IF(PRODUCTOS!B30="","",PRODUCTOS!B30)</f>
        <v/>
      </c>
      <c r="B30" s="10">
        <f>IF($A30="","",SUMIFS(RECETAS!$F:$F,RECETAS!$A:$A,$A30))</f>
        <v/>
      </c>
      <c r="C30" s="9" t="n"/>
      <c r="D30" s="10">
        <f>IF($A30="","",B30+IF(C30="",0,C30))</f>
        <v/>
      </c>
      <c r="E30" s="9" t="n"/>
      <c r="F30" s="10">
        <f>IF(OR($A30="",$E30=""),"",ROUND($E30-$E30/(1+$B$3),0))</f>
        <v/>
      </c>
      <c r="G30" s="10">
        <f>IF(OR($A30="",$E30=""),"",ROUND($E30/(1+$B$3),0))</f>
        <v/>
      </c>
      <c r="H30" s="10">
        <f>IF(OR($A30="",$E30=""),"",G30-D30)</f>
        <v/>
      </c>
      <c r="I30" s="22">
        <f>IF(OR($A30="",$E30="",$E30=0),"",H30/G30)</f>
        <v/>
      </c>
      <c r="J30" s="7" t="n"/>
    </row>
    <row r="31">
      <c r="A31" s="8">
        <f>IF(PRODUCTOS!B31="","",PRODUCTOS!B31)</f>
        <v/>
      </c>
      <c r="B31" s="10">
        <f>IF($A31="","",SUMIFS(RECETAS!$F:$F,RECETAS!$A:$A,$A31))</f>
        <v/>
      </c>
      <c r="C31" s="9" t="n"/>
      <c r="D31" s="10">
        <f>IF($A31="","",B31+IF(C31="",0,C31))</f>
        <v/>
      </c>
      <c r="E31" s="9" t="n"/>
      <c r="F31" s="10">
        <f>IF(OR($A31="",$E31=""),"",ROUND($E31-$E31/(1+$B$3),0))</f>
        <v/>
      </c>
      <c r="G31" s="10">
        <f>IF(OR($A31="",$E31=""),"",ROUND($E31/(1+$B$3),0))</f>
        <v/>
      </c>
      <c r="H31" s="10">
        <f>IF(OR($A31="",$E31=""),"",G31-D31)</f>
        <v/>
      </c>
      <c r="I31" s="22">
        <f>IF(OR($A31="",$E31="",$E31=0),"",H31/G31)</f>
        <v/>
      </c>
      <c r="J31" s="7" t="n"/>
    </row>
    <row r="32">
      <c r="A32" s="8">
        <f>IF(PRODUCTOS!B32="","",PRODUCTOS!B32)</f>
        <v/>
      </c>
      <c r="B32" s="10">
        <f>IF($A32="","",SUMIFS(RECETAS!$F:$F,RECETAS!$A:$A,$A32))</f>
        <v/>
      </c>
      <c r="C32" s="9" t="n"/>
      <c r="D32" s="10">
        <f>IF($A32="","",B32+IF(C32="",0,C32))</f>
        <v/>
      </c>
      <c r="E32" s="9" t="n"/>
      <c r="F32" s="10">
        <f>IF(OR($A32="",$E32=""),"",ROUND($E32-$E32/(1+$B$3),0))</f>
        <v/>
      </c>
      <c r="G32" s="10">
        <f>IF(OR($A32="",$E32=""),"",ROUND($E32/(1+$B$3),0))</f>
        <v/>
      </c>
      <c r="H32" s="10">
        <f>IF(OR($A32="",$E32=""),"",G32-D32)</f>
        <v/>
      </c>
      <c r="I32" s="22">
        <f>IF(OR($A32="",$E32="",$E32=0),"",H32/G32)</f>
        <v/>
      </c>
      <c r="J32" s="7" t="n"/>
    </row>
    <row r="33">
      <c r="A33" s="8">
        <f>IF(PRODUCTOS!B33="","",PRODUCTOS!B33)</f>
        <v/>
      </c>
      <c r="B33" s="10">
        <f>IF($A33="","",SUMIFS(RECETAS!$F:$F,RECETAS!$A:$A,$A33))</f>
        <v/>
      </c>
      <c r="C33" s="9" t="n"/>
      <c r="D33" s="10">
        <f>IF($A33="","",B33+IF(C33="",0,C33))</f>
        <v/>
      </c>
      <c r="E33" s="9" t="n"/>
      <c r="F33" s="10">
        <f>IF(OR($A33="",$E33=""),"",ROUND($E33-$E33/(1+$B$3),0))</f>
        <v/>
      </c>
      <c r="G33" s="10">
        <f>IF(OR($A33="",$E33=""),"",ROUND($E33/(1+$B$3),0))</f>
        <v/>
      </c>
      <c r="H33" s="10">
        <f>IF(OR($A33="",$E33=""),"",G33-D33)</f>
        <v/>
      </c>
      <c r="I33" s="22">
        <f>IF(OR($A33="",$E33="",$E33=0),"",H33/G33)</f>
        <v/>
      </c>
      <c r="J33" s="7" t="n"/>
    </row>
    <row r="34">
      <c r="A34" s="8">
        <f>IF(PRODUCTOS!B34="","",PRODUCTOS!B34)</f>
        <v/>
      </c>
      <c r="B34" s="10">
        <f>IF($A34="","",SUMIFS(RECETAS!$F:$F,RECETAS!$A:$A,$A34))</f>
        <v/>
      </c>
      <c r="C34" s="9" t="n"/>
      <c r="D34" s="10">
        <f>IF($A34="","",B34+IF(C34="",0,C34))</f>
        <v/>
      </c>
      <c r="E34" s="9" t="n"/>
      <c r="F34" s="10">
        <f>IF(OR($A34="",$E34=""),"",ROUND($E34-$E34/(1+$B$3),0))</f>
        <v/>
      </c>
      <c r="G34" s="10">
        <f>IF(OR($A34="",$E34=""),"",ROUND($E34/(1+$B$3),0))</f>
        <v/>
      </c>
      <c r="H34" s="10">
        <f>IF(OR($A34="",$E34=""),"",G34-D34)</f>
        <v/>
      </c>
      <c r="I34" s="22">
        <f>IF(OR($A34="",$E34="",$E34=0),"",H34/G34)</f>
        <v/>
      </c>
      <c r="J34" s="7" t="n"/>
    </row>
    <row r="35">
      <c r="A35" s="8">
        <f>IF(PRODUCTOS!B35="","",PRODUCTOS!B35)</f>
        <v/>
      </c>
      <c r="B35" s="10">
        <f>IF($A35="","",SUMIFS(RECETAS!$F:$F,RECETAS!$A:$A,$A35))</f>
        <v/>
      </c>
      <c r="C35" s="9" t="n"/>
      <c r="D35" s="10">
        <f>IF($A35="","",B35+IF(C35="",0,C35))</f>
        <v/>
      </c>
      <c r="E35" s="9" t="n"/>
      <c r="F35" s="10">
        <f>IF(OR($A35="",$E35=""),"",ROUND($E35-$E35/(1+$B$3),0))</f>
        <v/>
      </c>
      <c r="G35" s="10">
        <f>IF(OR($A35="",$E35=""),"",ROUND($E35/(1+$B$3),0))</f>
        <v/>
      </c>
      <c r="H35" s="10">
        <f>IF(OR($A35="",$E35=""),"",G35-D35)</f>
        <v/>
      </c>
      <c r="I35" s="22">
        <f>IF(OR($A35="",$E35="",$E35=0),"",H35/G35)</f>
        <v/>
      </c>
      <c r="J35" s="7" t="n"/>
    </row>
    <row r="36">
      <c r="A36" s="8">
        <f>IF(PRODUCTOS!B36="","",PRODUCTOS!B36)</f>
        <v/>
      </c>
      <c r="B36" s="10">
        <f>IF($A36="","",SUMIFS(RECETAS!$F:$F,RECETAS!$A:$A,$A36))</f>
        <v/>
      </c>
      <c r="C36" s="9" t="n"/>
      <c r="D36" s="10">
        <f>IF($A36="","",B36+IF(C36="",0,C36))</f>
        <v/>
      </c>
      <c r="E36" s="9" t="n"/>
      <c r="F36" s="10">
        <f>IF(OR($A36="",$E36=""),"",ROUND($E36-$E36/(1+$B$3),0))</f>
        <v/>
      </c>
      <c r="G36" s="10">
        <f>IF(OR($A36="",$E36=""),"",ROUND($E36/(1+$B$3),0))</f>
        <v/>
      </c>
      <c r="H36" s="10">
        <f>IF(OR($A36="",$E36=""),"",G36-D36)</f>
        <v/>
      </c>
      <c r="I36" s="22">
        <f>IF(OR($A36="",$E36="",$E36=0),"",H36/G36)</f>
        <v/>
      </c>
      <c r="J36" s="7" t="n"/>
    </row>
    <row r="37">
      <c r="A37" s="8">
        <f>IF(PRODUCTOS!B37="","",PRODUCTOS!B37)</f>
        <v/>
      </c>
      <c r="B37" s="10">
        <f>IF($A37="","",SUMIFS(RECETAS!$F:$F,RECETAS!$A:$A,$A37))</f>
        <v/>
      </c>
      <c r="C37" s="9" t="n"/>
      <c r="D37" s="10">
        <f>IF($A37="","",B37+IF(C37="",0,C37))</f>
        <v/>
      </c>
      <c r="E37" s="9" t="n"/>
      <c r="F37" s="10">
        <f>IF(OR($A37="",$E37=""),"",ROUND($E37-$E37/(1+$B$3),0))</f>
        <v/>
      </c>
      <c r="G37" s="10">
        <f>IF(OR($A37="",$E37=""),"",ROUND($E37/(1+$B$3),0))</f>
        <v/>
      </c>
      <c r="H37" s="10">
        <f>IF(OR($A37="",$E37=""),"",G37-D37)</f>
        <v/>
      </c>
      <c r="I37" s="22">
        <f>IF(OR($A37="",$E37="",$E37=0),"",H37/G37)</f>
        <v/>
      </c>
      <c r="J37" s="7" t="n"/>
    </row>
    <row r="38">
      <c r="A38" s="8">
        <f>IF(PRODUCTOS!B38="","",PRODUCTOS!B38)</f>
        <v/>
      </c>
      <c r="B38" s="10">
        <f>IF($A38="","",SUMIFS(RECETAS!$F:$F,RECETAS!$A:$A,$A38))</f>
        <v/>
      </c>
      <c r="C38" s="9" t="n"/>
      <c r="D38" s="10">
        <f>IF($A38="","",B38+IF(C38="",0,C38))</f>
        <v/>
      </c>
      <c r="E38" s="9" t="n"/>
      <c r="F38" s="10">
        <f>IF(OR($A38="",$E38=""),"",ROUND($E38-$E38/(1+$B$3),0))</f>
        <v/>
      </c>
      <c r="G38" s="10">
        <f>IF(OR($A38="",$E38=""),"",ROUND($E38/(1+$B$3),0))</f>
        <v/>
      </c>
      <c r="H38" s="10">
        <f>IF(OR($A38="",$E38=""),"",G38-D38)</f>
        <v/>
      </c>
      <c r="I38" s="22">
        <f>IF(OR($A38="",$E38="",$E38=0),"",H38/G38)</f>
        <v/>
      </c>
      <c r="J38" s="7" t="n"/>
    </row>
    <row r="39">
      <c r="A39" s="8">
        <f>IF(PRODUCTOS!B39="","",PRODUCTOS!B39)</f>
        <v/>
      </c>
      <c r="B39" s="10">
        <f>IF($A39="","",SUMIFS(RECETAS!$F:$F,RECETAS!$A:$A,$A39))</f>
        <v/>
      </c>
      <c r="C39" s="9" t="n"/>
      <c r="D39" s="10">
        <f>IF($A39="","",B39+IF(C39="",0,C39))</f>
        <v/>
      </c>
      <c r="E39" s="9" t="n"/>
      <c r="F39" s="10">
        <f>IF(OR($A39="",$E39=""),"",ROUND($E39-$E39/(1+$B$3),0))</f>
        <v/>
      </c>
      <c r="G39" s="10">
        <f>IF(OR($A39="",$E39=""),"",ROUND($E39/(1+$B$3),0))</f>
        <v/>
      </c>
      <c r="H39" s="10">
        <f>IF(OR($A39="",$E39=""),"",G39-D39)</f>
        <v/>
      </c>
      <c r="I39" s="22">
        <f>IF(OR($A39="",$E39="",$E39=0),"",H39/G39)</f>
        <v/>
      </c>
      <c r="J39" s="7" t="n"/>
    </row>
    <row r="40">
      <c r="A40" s="8">
        <f>IF(PRODUCTOS!B40="","",PRODUCTOS!B40)</f>
        <v/>
      </c>
      <c r="B40" s="10">
        <f>IF($A40="","",SUMIFS(RECETAS!$F:$F,RECETAS!$A:$A,$A40))</f>
        <v/>
      </c>
      <c r="C40" s="9" t="n"/>
      <c r="D40" s="10">
        <f>IF($A40="","",B40+IF(C40="",0,C40))</f>
        <v/>
      </c>
      <c r="E40" s="9" t="n"/>
      <c r="F40" s="10">
        <f>IF(OR($A40="",$E40=""),"",ROUND($E40-$E40/(1+$B$3),0))</f>
        <v/>
      </c>
      <c r="G40" s="10">
        <f>IF(OR($A40="",$E40=""),"",ROUND($E40/(1+$B$3),0))</f>
        <v/>
      </c>
      <c r="H40" s="10">
        <f>IF(OR($A40="",$E40=""),"",G40-D40)</f>
        <v/>
      </c>
      <c r="I40" s="22">
        <f>IF(OR($A40="",$E40="",$E40=0),"",H40/G40)</f>
        <v/>
      </c>
      <c r="J40" s="7" t="n"/>
    </row>
    <row r="41">
      <c r="A41" s="8">
        <f>IF(PRODUCTOS!B41="","",PRODUCTOS!B41)</f>
        <v/>
      </c>
      <c r="B41" s="10">
        <f>IF($A41="","",SUMIFS(RECETAS!$F:$F,RECETAS!$A:$A,$A41))</f>
        <v/>
      </c>
      <c r="C41" s="9" t="n"/>
      <c r="D41" s="10">
        <f>IF($A41="","",B41+IF(C41="",0,C41))</f>
        <v/>
      </c>
      <c r="E41" s="9" t="n"/>
      <c r="F41" s="10">
        <f>IF(OR($A41="",$E41=""),"",ROUND($E41-$E41/(1+$B$3),0))</f>
        <v/>
      </c>
      <c r="G41" s="10">
        <f>IF(OR($A41="",$E41=""),"",ROUND($E41/(1+$B$3),0))</f>
        <v/>
      </c>
      <c r="H41" s="10">
        <f>IF(OR($A41="",$E41=""),"",G41-D41)</f>
        <v/>
      </c>
      <c r="I41" s="22">
        <f>IF(OR($A41="",$E41="",$E41=0),"",H41/G41)</f>
        <v/>
      </c>
      <c r="J41" s="7" t="n"/>
    </row>
    <row r="42">
      <c r="A42" s="8">
        <f>IF(PRODUCTOS!B42="","",PRODUCTOS!B42)</f>
        <v/>
      </c>
      <c r="B42" s="10">
        <f>IF($A42="","",SUMIFS(RECETAS!$F:$F,RECETAS!$A:$A,$A42))</f>
        <v/>
      </c>
      <c r="C42" s="9" t="n"/>
      <c r="D42" s="10">
        <f>IF($A42="","",B42+IF(C42="",0,C42))</f>
        <v/>
      </c>
      <c r="E42" s="9" t="n"/>
      <c r="F42" s="10">
        <f>IF(OR($A42="",$E42=""),"",ROUND($E42-$E42/(1+$B$3),0))</f>
        <v/>
      </c>
      <c r="G42" s="10">
        <f>IF(OR($A42="",$E42=""),"",ROUND($E42/(1+$B$3),0))</f>
        <v/>
      </c>
      <c r="H42" s="10">
        <f>IF(OR($A42="",$E42=""),"",G42-D42)</f>
        <v/>
      </c>
      <c r="I42" s="22">
        <f>IF(OR($A42="",$E42="",$E42=0),"",H42/G42)</f>
        <v/>
      </c>
      <c r="J42" s="7" t="n"/>
    </row>
    <row r="43">
      <c r="A43" s="8">
        <f>IF(PRODUCTOS!B43="","",PRODUCTOS!B43)</f>
        <v/>
      </c>
      <c r="B43" s="10">
        <f>IF($A43="","",SUMIFS(RECETAS!$F:$F,RECETAS!$A:$A,$A43))</f>
        <v/>
      </c>
      <c r="C43" s="9" t="n"/>
      <c r="D43" s="10">
        <f>IF($A43="","",B43+IF(C43="",0,C43))</f>
        <v/>
      </c>
      <c r="E43" s="9" t="n"/>
      <c r="F43" s="10">
        <f>IF(OR($A43="",$E43=""),"",ROUND($E43-$E43/(1+$B$3),0))</f>
        <v/>
      </c>
      <c r="G43" s="10">
        <f>IF(OR($A43="",$E43=""),"",ROUND($E43/(1+$B$3),0))</f>
        <v/>
      </c>
      <c r="H43" s="10">
        <f>IF(OR($A43="",$E43=""),"",G43-D43)</f>
        <v/>
      </c>
      <c r="I43" s="22">
        <f>IF(OR($A43="",$E43="",$E43=0),"",H43/G43)</f>
        <v/>
      </c>
      <c r="J43" s="7" t="n"/>
    </row>
    <row r="44">
      <c r="A44" s="8">
        <f>IF(PRODUCTOS!B44="","",PRODUCTOS!B44)</f>
        <v/>
      </c>
      <c r="B44" s="10">
        <f>IF($A44="","",SUMIFS(RECETAS!$F:$F,RECETAS!$A:$A,$A44))</f>
        <v/>
      </c>
      <c r="C44" s="9" t="n"/>
      <c r="D44" s="10">
        <f>IF($A44="","",B44+IF(C44="",0,C44))</f>
        <v/>
      </c>
      <c r="E44" s="9" t="n"/>
      <c r="F44" s="10">
        <f>IF(OR($A44="",$E44=""),"",ROUND($E44-$E44/(1+$B$3),0))</f>
        <v/>
      </c>
      <c r="G44" s="10">
        <f>IF(OR($A44="",$E44=""),"",ROUND($E44/(1+$B$3),0))</f>
        <v/>
      </c>
      <c r="H44" s="10">
        <f>IF(OR($A44="",$E44=""),"",G44-D44)</f>
        <v/>
      </c>
      <c r="I44" s="22">
        <f>IF(OR($A44="",$E44="",$E44=0),"",H44/G44)</f>
        <v/>
      </c>
      <c r="J44" s="7" t="n"/>
    </row>
    <row r="45">
      <c r="A45" s="8">
        <f>IF(PRODUCTOS!B45="","",PRODUCTOS!B45)</f>
        <v/>
      </c>
      <c r="B45" s="10">
        <f>IF($A45="","",SUMIFS(RECETAS!$F:$F,RECETAS!$A:$A,$A45))</f>
        <v/>
      </c>
      <c r="C45" s="9" t="n"/>
      <c r="D45" s="10">
        <f>IF($A45="","",B45+IF(C45="",0,C45))</f>
        <v/>
      </c>
      <c r="E45" s="9" t="n"/>
      <c r="F45" s="10">
        <f>IF(OR($A45="",$E45=""),"",ROUND($E45-$E45/(1+$B$3),0))</f>
        <v/>
      </c>
      <c r="G45" s="10">
        <f>IF(OR($A45="",$E45=""),"",ROUND($E45/(1+$B$3),0))</f>
        <v/>
      </c>
      <c r="H45" s="10">
        <f>IF(OR($A45="",$E45=""),"",G45-D45)</f>
        <v/>
      </c>
      <c r="I45" s="22">
        <f>IF(OR($A45="",$E45="",$E45=0),"",H45/G45)</f>
        <v/>
      </c>
      <c r="J45" s="7" t="n"/>
    </row>
    <row r="46">
      <c r="A46" s="8">
        <f>IF(PRODUCTOS!B46="","",PRODUCTOS!B46)</f>
        <v/>
      </c>
      <c r="B46" s="10">
        <f>IF($A46="","",SUMIFS(RECETAS!$F:$F,RECETAS!$A:$A,$A46))</f>
        <v/>
      </c>
      <c r="C46" s="9" t="n"/>
      <c r="D46" s="10">
        <f>IF($A46="","",B46+IF(C46="",0,C46))</f>
        <v/>
      </c>
      <c r="E46" s="9" t="n"/>
      <c r="F46" s="10">
        <f>IF(OR($A46="",$E46=""),"",ROUND($E46-$E46/(1+$B$3),0))</f>
        <v/>
      </c>
      <c r="G46" s="10">
        <f>IF(OR($A46="",$E46=""),"",ROUND($E46/(1+$B$3),0))</f>
        <v/>
      </c>
      <c r="H46" s="10">
        <f>IF(OR($A46="",$E46=""),"",G46-D46)</f>
        <v/>
      </c>
      <c r="I46" s="22">
        <f>IF(OR($A46="",$E46="",$E46=0),"",H46/G46)</f>
        <v/>
      </c>
      <c r="J46" s="7" t="n"/>
    </row>
    <row r="47">
      <c r="A47" s="8">
        <f>IF(PRODUCTOS!B47="","",PRODUCTOS!B47)</f>
        <v/>
      </c>
      <c r="B47" s="10">
        <f>IF($A47="","",SUMIFS(RECETAS!$F:$F,RECETAS!$A:$A,$A47))</f>
        <v/>
      </c>
      <c r="C47" s="9" t="n"/>
      <c r="D47" s="10">
        <f>IF($A47="","",B47+IF(C47="",0,C47))</f>
        <v/>
      </c>
      <c r="E47" s="9" t="n"/>
      <c r="F47" s="10">
        <f>IF(OR($A47="",$E47=""),"",ROUND($E47-$E47/(1+$B$3),0))</f>
        <v/>
      </c>
      <c r="G47" s="10">
        <f>IF(OR($A47="",$E47=""),"",ROUND($E47/(1+$B$3),0))</f>
        <v/>
      </c>
      <c r="H47" s="10">
        <f>IF(OR($A47="",$E47=""),"",G47-D47)</f>
        <v/>
      </c>
      <c r="I47" s="22">
        <f>IF(OR($A47="",$E47="",$E47=0),"",H47/G47)</f>
        <v/>
      </c>
      <c r="J47" s="7" t="n"/>
    </row>
    <row r="48">
      <c r="A48" s="8">
        <f>IF(PRODUCTOS!B48="","",PRODUCTOS!B48)</f>
        <v/>
      </c>
      <c r="B48" s="10">
        <f>IF($A48="","",SUMIFS(RECETAS!$F:$F,RECETAS!$A:$A,$A48))</f>
        <v/>
      </c>
      <c r="C48" s="9" t="n"/>
      <c r="D48" s="10">
        <f>IF($A48="","",B48+IF(C48="",0,C48))</f>
        <v/>
      </c>
      <c r="E48" s="9" t="n"/>
      <c r="F48" s="10">
        <f>IF(OR($A48="",$E48=""),"",ROUND($E48-$E48/(1+$B$3),0))</f>
        <v/>
      </c>
      <c r="G48" s="10">
        <f>IF(OR($A48="",$E48=""),"",ROUND($E48/(1+$B$3),0))</f>
        <v/>
      </c>
      <c r="H48" s="10">
        <f>IF(OR($A48="",$E48=""),"",G48-D48)</f>
        <v/>
      </c>
      <c r="I48" s="22">
        <f>IF(OR($A48="",$E48="",$E48=0),"",H48/G48)</f>
        <v/>
      </c>
      <c r="J48" s="7" t="n"/>
    </row>
    <row r="49">
      <c r="A49" s="8">
        <f>IF(PRODUCTOS!B49="","",PRODUCTOS!B49)</f>
        <v/>
      </c>
      <c r="B49" s="10">
        <f>IF($A49="","",SUMIFS(RECETAS!$F:$F,RECETAS!$A:$A,$A49))</f>
        <v/>
      </c>
      <c r="C49" s="9" t="n"/>
      <c r="D49" s="10">
        <f>IF($A49="","",B49+IF(C49="",0,C49))</f>
        <v/>
      </c>
      <c r="E49" s="9" t="n"/>
      <c r="F49" s="10">
        <f>IF(OR($A49="",$E49=""),"",ROUND($E49-$E49/(1+$B$3),0))</f>
        <v/>
      </c>
      <c r="G49" s="10">
        <f>IF(OR($A49="",$E49=""),"",ROUND($E49/(1+$B$3),0))</f>
        <v/>
      </c>
      <c r="H49" s="10">
        <f>IF(OR($A49="",$E49=""),"",G49-D49)</f>
        <v/>
      </c>
      <c r="I49" s="22">
        <f>IF(OR($A49="",$E49="",$E49=0),"",H49/G49)</f>
        <v/>
      </c>
      <c r="J49" s="7" t="n"/>
    </row>
    <row r="50">
      <c r="A50" s="8">
        <f>IF(PRODUCTOS!B50="","",PRODUCTOS!B50)</f>
        <v/>
      </c>
      <c r="B50" s="10">
        <f>IF($A50="","",SUMIFS(RECETAS!$F:$F,RECETAS!$A:$A,$A50))</f>
        <v/>
      </c>
      <c r="C50" s="9" t="n"/>
      <c r="D50" s="10">
        <f>IF($A50="","",B50+IF(C50="",0,C50))</f>
        <v/>
      </c>
      <c r="E50" s="9" t="n"/>
      <c r="F50" s="10">
        <f>IF(OR($A50="",$E50=""),"",ROUND($E50-$E50/(1+$B$3),0))</f>
        <v/>
      </c>
      <c r="G50" s="10">
        <f>IF(OR($A50="",$E50=""),"",ROUND($E50/(1+$B$3),0))</f>
        <v/>
      </c>
      <c r="H50" s="10">
        <f>IF(OR($A50="",$E50=""),"",G50-D50)</f>
        <v/>
      </c>
      <c r="I50" s="22">
        <f>IF(OR($A50="",$E50="",$E50=0),"",H50/G50)</f>
        <v/>
      </c>
      <c r="J50" s="7" t="n"/>
    </row>
    <row r="51">
      <c r="A51" s="8">
        <f>IF(PRODUCTOS!B51="","",PRODUCTOS!B51)</f>
        <v/>
      </c>
      <c r="B51" s="10">
        <f>IF($A51="","",SUMIFS(RECETAS!$F:$F,RECETAS!$A:$A,$A51))</f>
        <v/>
      </c>
      <c r="C51" s="9" t="n"/>
      <c r="D51" s="10">
        <f>IF($A51="","",B51+IF(C51="",0,C51))</f>
        <v/>
      </c>
      <c r="E51" s="9" t="n"/>
      <c r="F51" s="10">
        <f>IF(OR($A51="",$E51=""),"",ROUND($E51-$E51/(1+$B$3),0))</f>
        <v/>
      </c>
      <c r="G51" s="10">
        <f>IF(OR($A51="",$E51=""),"",ROUND($E51/(1+$B$3),0))</f>
        <v/>
      </c>
      <c r="H51" s="10">
        <f>IF(OR($A51="",$E51=""),"",G51-D51)</f>
        <v/>
      </c>
      <c r="I51" s="22">
        <f>IF(OR($A51="",$E51="",$E51=0),"",H51/G51)</f>
        <v/>
      </c>
      <c r="J51" s="7" t="n"/>
    </row>
    <row r="52">
      <c r="A52" s="8">
        <f>IF(PRODUCTOS!B52="","",PRODUCTOS!B52)</f>
        <v/>
      </c>
      <c r="B52" s="10">
        <f>IF($A52="","",SUMIFS(RECETAS!$F:$F,RECETAS!$A:$A,$A52))</f>
        <v/>
      </c>
      <c r="C52" s="9" t="n"/>
      <c r="D52" s="10">
        <f>IF($A52="","",B52+IF(C52="",0,C52))</f>
        <v/>
      </c>
      <c r="E52" s="9" t="n"/>
      <c r="F52" s="10">
        <f>IF(OR($A52="",$E52=""),"",ROUND($E52-$E52/(1+$B$3),0))</f>
        <v/>
      </c>
      <c r="G52" s="10">
        <f>IF(OR($A52="",$E52=""),"",ROUND($E52/(1+$B$3),0))</f>
        <v/>
      </c>
      <c r="H52" s="10">
        <f>IF(OR($A52="",$E52=""),"",G52-D52)</f>
        <v/>
      </c>
      <c r="I52" s="22">
        <f>IF(OR($A52="",$E52="",$E52=0),"",H52/G52)</f>
        <v/>
      </c>
      <c r="J52" s="7" t="n"/>
    </row>
    <row r="53">
      <c r="A53" s="8">
        <f>IF(PRODUCTOS!B53="","",PRODUCTOS!B53)</f>
        <v/>
      </c>
      <c r="B53" s="10">
        <f>IF($A53="","",SUMIFS(RECETAS!$F:$F,RECETAS!$A:$A,$A53))</f>
        <v/>
      </c>
      <c r="C53" s="9" t="n"/>
      <c r="D53" s="10">
        <f>IF($A53="","",B53+IF(C53="",0,C53))</f>
        <v/>
      </c>
      <c r="E53" s="9" t="n"/>
      <c r="F53" s="10">
        <f>IF(OR($A53="",$E53=""),"",ROUND($E53-$E53/(1+$B$3),0))</f>
        <v/>
      </c>
      <c r="G53" s="10">
        <f>IF(OR($A53="",$E53=""),"",ROUND($E53/(1+$B$3),0))</f>
        <v/>
      </c>
      <c r="H53" s="10">
        <f>IF(OR($A53="",$E53=""),"",G53-D53)</f>
        <v/>
      </c>
      <c r="I53" s="22">
        <f>IF(OR($A53="",$E53="",$E53=0),"",H53/G53)</f>
        <v/>
      </c>
      <c r="J53" s="7" t="n"/>
    </row>
    <row r="54">
      <c r="A54" s="8">
        <f>IF(PRODUCTOS!B54="","",PRODUCTOS!B54)</f>
        <v/>
      </c>
      <c r="B54" s="10">
        <f>IF($A54="","",SUMIFS(RECETAS!$F:$F,RECETAS!$A:$A,$A54))</f>
        <v/>
      </c>
      <c r="C54" s="9" t="n"/>
      <c r="D54" s="10">
        <f>IF($A54="","",B54+IF(C54="",0,C54))</f>
        <v/>
      </c>
      <c r="E54" s="9" t="n"/>
      <c r="F54" s="10">
        <f>IF(OR($A54="",$E54=""),"",ROUND($E54-$E54/(1+$B$3),0))</f>
        <v/>
      </c>
      <c r="G54" s="10">
        <f>IF(OR($A54="",$E54=""),"",ROUND($E54/(1+$B$3),0))</f>
        <v/>
      </c>
      <c r="H54" s="10">
        <f>IF(OR($A54="",$E54=""),"",G54-D54)</f>
        <v/>
      </c>
      <c r="I54" s="22">
        <f>IF(OR($A54="",$E54="",$E54=0),"",H54/G54)</f>
        <v/>
      </c>
      <c r="J54" s="7" t="n"/>
    </row>
    <row r="55">
      <c r="A55" s="8">
        <f>IF(PRODUCTOS!B55="","",PRODUCTOS!B55)</f>
        <v/>
      </c>
      <c r="B55" s="10">
        <f>IF($A55="","",SUMIFS(RECETAS!$F:$F,RECETAS!$A:$A,$A55))</f>
        <v/>
      </c>
      <c r="C55" s="9" t="n"/>
      <c r="D55" s="10">
        <f>IF($A55="","",B55+IF(C55="",0,C55))</f>
        <v/>
      </c>
      <c r="E55" s="9" t="n"/>
      <c r="F55" s="10">
        <f>IF(OR($A55="",$E55=""),"",ROUND($E55-$E55/(1+$B$3),0))</f>
        <v/>
      </c>
      <c r="G55" s="10">
        <f>IF(OR($A55="",$E55=""),"",ROUND($E55/(1+$B$3),0))</f>
        <v/>
      </c>
      <c r="H55" s="10">
        <f>IF(OR($A55="",$E55=""),"",G55-D55)</f>
        <v/>
      </c>
      <c r="I55" s="22">
        <f>IF(OR($A55="",$E55="",$E55=0),"",H55/G55)</f>
        <v/>
      </c>
      <c r="J55" s="7" t="n"/>
    </row>
    <row r="56">
      <c r="A56" s="8">
        <f>IF(PRODUCTOS!B56="","",PRODUCTOS!B56)</f>
        <v/>
      </c>
      <c r="B56" s="10">
        <f>IF($A56="","",SUMIFS(RECETAS!$F:$F,RECETAS!$A:$A,$A56))</f>
        <v/>
      </c>
      <c r="C56" s="9" t="n"/>
      <c r="D56" s="10">
        <f>IF($A56="","",B56+IF(C56="",0,C56))</f>
        <v/>
      </c>
      <c r="E56" s="9" t="n"/>
      <c r="F56" s="10">
        <f>IF(OR($A56="",$E56=""),"",ROUND($E56-$E56/(1+$B$3),0))</f>
        <v/>
      </c>
      <c r="G56" s="10">
        <f>IF(OR($A56="",$E56=""),"",ROUND($E56/(1+$B$3),0))</f>
        <v/>
      </c>
      <c r="H56" s="10">
        <f>IF(OR($A56="",$E56=""),"",G56-D56)</f>
        <v/>
      </c>
      <c r="I56" s="22">
        <f>IF(OR($A56="",$E56="",$E56=0),"",H56/G56)</f>
        <v/>
      </c>
      <c r="J56" s="7" t="n"/>
    </row>
    <row r="57">
      <c r="A57" s="8">
        <f>IF(PRODUCTOS!B57="","",PRODUCTOS!B57)</f>
        <v/>
      </c>
      <c r="B57" s="10">
        <f>IF($A57="","",SUMIFS(RECETAS!$F:$F,RECETAS!$A:$A,$A57))</f>
        <v/>
      </c>
      <c r="C57" s="9" t="n"/>
      <c r="D57" s="10">
        <f>IF($A57="","",B57+IF(C57="",0,C57))</f>
        <v/>
      </c>
      <c r="E57" s="9" t="n"/>
      <c r="F57" s="10">
        <f>IF(OR($A57="",$E57=""),"",ROUND($E57-$E57/(1+$B$3),0))</f>
        <v/>
      </c>
      <c r="G57" s="10">
        <f>IF(OR($A57="",$E57=""),"",ROUND($E57/(1+$B$3),0))</f>
        <v/>
      </c>
      <c r="H57" s="10">
        <f>IF(OR($A57="",$E57=""),"",G57-D57)</f>
        <v/>
      </c>
      <c r="I57" s="22">
        <f>IF(OR($A57="",$E57="",$E57=0),"",H57/G57)</f>
        <v/>
      </c>
      <c r="J57" s="7" t="n"/>
    </row>
    <row r="58">
      <c r="A58" s="8">
        <f>IF(PRODUCTOS!B58="","",PRODUCTOS!B58)</f>
        <v/>
      </c>
      <c r="B58" s="10">
        <f>IF($A58="","",SUMIFS(RECETAS!$F:$F,RECETAS!$A:$A,$A58))</f>
        <v/>
      </c>
      <c r="C58" s="9" t="n"/>
      <c r="D58" s="10">
        <f>IF($A58="","",B58+IF(C58="",0,C58))</f>
        <v/>
      </c>
      <c r="E58" s="9" t="n"/>
      <c r="F58" s="10">
        <f>IF(OR($A58="",$E58=""),"",ROUND($E58-$E58/(1+$B$3),0))</f>
        <v/>
      </c>
      <c r="G58" s="10">
        <f>IF(OR($A58="",$E58=""),"",ROUND($E58/(1+$B$3),0))</f>
        <v/>
      </c>
      <c r="H58" s="10">
        <f>IF(OR($A58="",$E58=""),"",G58-D58)</f>
        <v/>
      </c>
      <c r="I58" s="22">
        <f>IF(OR($A58="",$E58="",$E58=0),"",H58/G58)</f>
        <v/>
      </c>
      <c r="J58" s="7" t="n"/>
    </row>
    <row r="59">
      <c r="A59" s="8">
        <f>IF(PRODUCTOS!B59="","",PRODUCTOS!B59)</f>
        <v/>
      </c>
      <c r="B59" s="10">
        <f>IF($A59="","",SUMIFS(RECETAS!$F:$F,RECETAS!$A:$A,$A59))</f>
        <v/>
      </c>
      <c r="C59" s="9" t="n"/>
      <c r="D59" s="10">
        <f>IF($A59="","",B59+IF(C59="",0,C59))</f>
        <v/>
      </c>
      <c r="E59" s="9" t="n"/>
      <c r="F59" s="10">
        <f>IF(OR($A59="",$E59=""),"",ROUND($E59-$E59/(1+$B$3),0))</f>
        <v/>
      </c>
      <c r="G59" s="10">
        <f>IF(OR($A59="",$E59=""),"",ROUND($E59/(1+$B$3),0))</f>
        <v/>
      </c>
      <c r="H59" s="10">
        <f>IF(OR($A59="",$E59=""),"",G59-D59)</f>
        <v/>
      </c>
      <c r="I59" s="22">
        <f>IF(OR($A59="",$E59="",$E59=0),"",H59/G59)</f>
        <v/>
      </c>
      <c r="J59" s="7" t="n"/>
    </row>
    <row r="60">
      <c r="A60" s="8">
        <f>IF(PRODUCTOS!B60="","",PRODUCTOS!B60)</f>
        <v/>
      </c>
      <c r="B60" s="10">
        <f>IF($A60="","",SUMIFS(RECETAS!$F:$F,RECETAS!$A:$A,$A60))</f>
        <v/>
      </c>
      <c r="C60" s="9" t="n"/>
      <c r="D60" s="10">
        <f>IF($A60="","",B60+IF(C60="",0,C60))</f>
        <v/>
      </c>
      <c r="E60" s="9" t="n"/>
      <c r="F60" s="10">
        <f>IF(OR($A60="",$E60=""),"",ROUND($E60-$E60/(1+$B$3),0))</f>
        <v/>
      </c>
      <c r="G60" s="10">
        <f>IF(OR($A60="",$E60=""),"",ROUND($E60/(1+$B$3),0))</f>
        <v/>
      </c>
      <c r="H60" s="10">
        <f>IF(OR($A60="",$E60=""),"",G60-D60)</f>
        <v/>
      </c>
      <c r="I60" s="22">
        <f>IF(OR($A60="",$E60="",$E60=0),"",H60/G60)</f>
        <v/>
      </c>
      <c r="J60" s="7" t="n"/>
    </row>
    <row r="61">
      <c r="A61" s="8">
        <f>IF(PRODUCTOS!B61="","",PRODUCTOS!B61)</f>
        <v/>
      </c>
      <c r="B61" s="10">
        <f>IF($A61="","",SUMIFS(RECETAS!$F:$F,RECETAS!$A:$A,$A61))</f>
        <v/>
      </c>
      <c r="C61" s="9" t="n"/>
      <c r="D61" s="10">
        <f>IF($A61="","",B61+IF(C61="",0,C61))</f>
        <v/>
      </c>
      <c r="E61" s="9" t="n"/>
      <c r="F61" s="10">
        <f>IF(OR($A61="",$E61=""),"",ROUND($E61-$E61/(1+$B$3),0))</f>
        <v/>
      </c>
      <c r="G61" s="10">
        <f>IF(OR($A61="",$E61=""),"",ROUND($E61/(1+$B$3),0))</f>
        <v/>
      </c>
      <c r="H61" s="10">
        <f>IF(OR($A61="",$E61=""),"",G61-D61)</f>
        <v/>
      </c>
      <c r="I61" s="22">
        <f>IF(OR($A61="",$E61="",$E61=0),"",H61/G61)</f>
        <v/>
      </c>
      <c r="J61" s="7" t="n"/>
    </row>
    <row r="62">
      <c r="A62" s="8">
        <f>IF(PRODUCTOS!B62="","",PRODUCTOS!B62)</f>
        <v/>
      </c>
      <c r="B62" s="10">
        <f>IF($A62="","",SUMIFS(RECETAS!$F:$F,RECETAS!$A:$A,$A62))</f>
        <v/>
      </c>
      <c r="C62" s="9" t="n"/>
      <c r="D62" s="10">
        <f>IF($A62="","",B62+IF(C62="",0,C62))</f>
        <v/>
      </c>
      <c r="E62" s="9" t="n"/>
      <c r="F62" s="10">
        <f>IF(OR($A62="",$E62=""),"",ROUND($E62-$E62/(1+$B$3),0))</f>
        <v/>
      </c>
      <c r="G62" s="10">
        <f>IF(OR($A62="",$E62=""),"",ROUND($E62/(1+$B$3),0))</f>
        <v/>
      </c>
      <c r="H62" s="10">
        <f>IF(OR($A62="",$E62=""),"",G62-D62)</f>
        <v/>
      </c>
      <c r="I62" s="22">
        <f>IF(OR($A62="",$E62="",$E62=0),"",H62/G62)</f>
        <v/>
      </c>
      <c r="J62" s="7" t="n"/>
    </row>
    <row r="63">
      <c r="A63" s="8">
        <f>IF(PRODUCTOS!B63="","",PRODUCTOS!B63)</f>
        <v/>
      </c>
      <c r="B63" s="10">
        <f>IF($A63="","",SUMIFS(RECETAS!$F:$F,RECETAS!$A:$A,$A63))</f>
        <v/>
      </c>
      <c r="C63" s="9" t="n"/>
      <c r="D63" s="10">
        <f>IF($A63="","",B63+IF(C63="",0,C63))</f>
        <v/>
      </c>
      <c r="E63" s="9" t="n"/>
      <c r="F63" s="10">
        <f>IF(OR($A63="",$E63=""),"",ROUND($E63-$E63/(1+$B$3),0))</f>
        <v/>
      </c>
      <c r="G63" s="10">
        <f>IF(OR($A63="",$E63=""),"",ROUND($E63/(1+$B$3),0))</f>
        <v/>
      </c>
      <c r="H63" s="10">
        <f>IF(OR($A63="",$E63=""),"",G63-D63)</f>
        <v/>
      </c>
      <c r="I63" s="22">
        <f>IF(OR($A63="",$E63="",$E63=0),"",H63/G63)</f>
        <v/>
      </c>
      <c r="J63" s="7" t="n"/>
    </row>
    <row r="64">
      <c r="A64" s="8">
        <f>IF(PRODUCTOS!B64="","",PRODUCTOS!B64)</f>
        <v/>
      </c>
      <c r="B64" s="10">
        <f>IF($A64="","",SUMIFS(RECETAS!$F:$F,RECETAS!$A:$A,$A64))</f>
        <v/>
      </c>
      <c r="C64" s="9" t="n"/>
      <c r="D64" s="10">
        <f>IF($A64="","",B64+IF(C64="",0,C64))</f>
        <v/>
      </c>
      <c r="E64" s="9" t="n"/>
      <c r="F64" s="10">
        <f>IF(OR($A64="",$E64=""),"",ROUND($E64-$E64/(1+$B$3),0))</f>
        <v/>
      </c>
      <c r="G64" s="10">
        <f>IF(OR($A64="",$E64=""),"",ROUND($E64/(1+$B$3),0))</f>
        <v/>
      </c>
      <c r="H64" s="10">
        <f>IF(OR($A64="",$E64=""),"",G64-D64)</f>
        <v/>
      </c>
      <c r="I64" s="22">
        <f>IF(OR($A64="",$E64="",$E64=0),"",H64/G64)</f>
        <v/>
      </c>
      <c r="J64" s="7" t="n"/>
    </row>
    <row r="65">
      <c r="A65" s="8">
        <f>IF(PRODUCTOS!B65="","",PRODUCTOS!B65)</f>
        <v/>
      </c>
      <c r="B65" s="10">
        <f>IF($A65="","",SUMIFS(RECETAS!$F:$F,RECETAS!$A:$A,$A65))</f>
        <v/>
      </c>
      <c r="C65" s="9" t="n"/>
      <c r="D65" s="10">
        <f>IF($A65="","",B65+IF(C65="",0,C65))</f>
        <v/>
      </c>
      <c r="E65" s="9" t="n"/>
      <c r="F65" s="10">
        <f>IF(OR($A65="",$E65=""),"",ROUND($E65-$E65/(1+$B$3),0))</f>
        <v/>
      </c>
      <c r="G65" s="10">
        <f>IF(OR($A65="",$E65=""),"",ROUND($E65/(1+$B$3),0))</f>
        <v/>
      </c>
      <c r="H65" s="10">
        <f>IF(OR($A65="",$E65=""),"",G65-D65)</f>
        <v/>
      </c>
      <c r="I65" s="22">
        <f>IF(OR($A65="",$E65="",$E65=0),"",H65/G65)</f>
        <v/>
      </c>
      <c r="J65" s="7" t="n"/>
    </row>
    <row r="66">
      <c r="A66" s="8">
        <f>IF(PRODUCTOS!B66="","",PRODUCTOS!B66)</f>
        <v/>
      </c>
      <c r="B66" s="10">
        <f>IF($A66="","",SUMIFS(RECETAS!$F:$F,RECETAS!$A:$A,$A66))</f>
        <v/>
      </c>
      <c r="C66" s="9" t="n"/>
      <c r="D66" s="10">
        <f>IF($A66="","",B66+IF(C66="",0,C66))</f>
        <v/>
      </c>
      <c r="E66" s="9" t="n"/>
      <c r="F66" s="10">
        <f>IF(OR($A66="",$E66=""),"",ROUND($E66-$E66/(1+$B$3),0))</f>
        <v/>
      </c>
      <c r="G66" s="10">
        <f>IF(OR($A66="",$E66=""),"",ROUND($E66/(1+$B$3),0))</f>
        <v/>
      </c>
      <c r="H66" s="10">
        <f>IF(OR($A66="",$E66=""),"",G66-D66)</f>
        <v/>
      </c>
      <c r="I66" s="22">
        <f>IF(OR($A66="",$E66="",$E66=0),"",H66/G66)</f>
        <v/>
      </c>
      <c r="J66" s="7" t="n"/>
    </row>
    <row r="67">
      <c r="A67" s="8">
        <f>IF(PRODUCTOS!B67="","",PRODUCTOS!B67)</f>
        <v/>
      </c>
      <c r="B67" s="10">
        <f>IF($A67="","",SUMIFS(RECETAS!$F:$F,RECETAS!$A:$A,$A67))</f>
        <v/>
      </c>
      <c r="C67" s="9" t="n"/>
      <c r="D67" s="10">
        <f>IF($A67="","",B67+IF(C67="",0,C67))</f>
        <v/>
      </c>
      <c r="E67" s="9" t="n"/>
      <c r="F67" s="10">
        <f>IF(OR($A67="",$E67=""),"",ROUND($E67-$E67/(1+$B$3),0))</f>
        <v/>
      </c>
      <c r="G67" s="10">
        <f>IF(OR($A67="",$E67=""),"",ROUND($E67/(1+$B$3),0))</f>
        <v/>
      </c>
      <c r="H67" s="10">
        <f>IF(OR($A67="",$E67=""),"",G67-D67)</f>
        <v/>
      </c>
      <c r="I67" s="22">
        <f>IF(OR($A67="",$E67="",$E67=0),"",H67/G67)</f>
        <v/>
      </c>
      <c r="J67" s="7" t="n"/>
    </row>
    <row r="68">
      <c r="A68" s="8">
        <f>IF(PRODUCTOS!B68="","",PRODUCTOS!B68)</f>
        <v/>
      </c>
      <c r="B68" s="10">
        <f>IF($A68="","",SUMIFS(RECETAS!$F:$F,RECETAS!$A:$A,$A68))</f>
        <v/>
      </c>
      <c r="C68" s="9" t="n"/>
      <c r="D68" s="10">
        <f>IF($A68="","",B68+IF(C68="",0,C68))</f>
        <v/>
      </c>
      <c r="E68" s="9" t="n"/>
      <c r="F68" s="10">
        <f>IF(OR($A68="",$E68=""),"",ROUND($E68-$E68/(1+$B$3),0))</f>
        <v/>
      </c>
      <c r="G68" s="10">
        <f>IF(OR($A68="",$E68=""),"",ROUND($E68/(1+$B$3),0))</f>
        <v/>
      </c>
      <c r="H68" s="10">
        <f>IF(OR($A68="",$E68=""),"",G68-D68)</f>
        <v/>
      </c>
      <c r="I68" s="22">
        <f>IF(OR($A68="",$E68="",$E68=0),"",H68/G68)</f>
        <v/>
      </c>
      <c r="J68" s="7" t="n"/>
    </row>
    <row r="69">
      <c r="A69" s="8">
        <f>IF(PRODUCTOS!B69="","",PRODUCTOS!B69)</f>
        <v/>
      </c>
      <c r="B69" s="10">
        <f>IF($A69="","",SUMIFS(RECETAS!$F:$F,RECETAS!$A:$A,$A69))</f>
        <v/>
      </c>
      <c r="C69" s="9" t="n"/>
      <c r="D69" s="10">
        <f>IF($A69="","",B69+IF(C69="",0,C69))</f>
        <v/>
      </c>
      <c r="E69" s="9" t="n"/>
      <c r="F69" s="10">
        <f>IF(OR($A69="",$E69=""),"",ROUND($E69-$E69/(1+$B$3),0))</f>
        <v/>
      </c>
      <c r="G69" s="10">
        <f>IF(OR($A69="",$E69=""),"",ROUND($E69/(1+$B$3),0))</f>
        <v/>
      </c>
      <c r="H69" s="10">
        <f>IF(OR($A69="",$E69=""),"",G69-D69)</f>
        <v/>
      </c>
      <c r="I69" s="22">
        <f>IF(OR($A69="",$E69="",$E69=0),"",H69/G69)</f>
        <v/>
      </c>
      <c r="J69" s="7" t="n"/>
    </row>
    <row r="70">
      <c r="A70" s="8">
        <f>IF(PRODUCTOS!B70="","",PRODUCTOS!B70)</f>
        <v/>
      </c>
      <c r="B70" s="10">
        <f>IF($A70="","",SUMIFS(RECETAS!$F:$F,RECETAS!$A:$A,$A70))</f>
        <v/>
      </c>
      <c r="C70" s="9" t="n"/>
      <c r="D70" s="10">
        <f>IF($A70="","",B70+IF(C70="",0,C70))</f>
        <v/>
      </c>
      <c r="E70" s="9" t="n"/>
      <c r="F70" s="10">
        <f>IF(OR($A70="",$E70=""),"",ROUND($E70-$E70/(1+$B$3),0))</f>
        <v/>
      </c>
      <c r="G70" s="10">
        <f>IF(OR($A70="",$E70=""),"",ROUND($E70/(1+$B$3),0))</f>
        <v/>
      </c>
      <c r="H70" s="10">
        <f>IF(OR($A70="",$E70=""),"",G70-D70)</f>
        <v/>
      </c>
      <c r="I70" s="22">
        <f>IF(OR($A70="",$E70="",$E70=0),"",H70/G70)</f>
        <v/>
      </c>
      <c r="J70" s="7" t="n"/>
    </row>
    <row r="71">
      <c r="A71" s="8">
        <f>IF(PRODUCTOS!B71="","",PRODUCTOS!B71)</f>
        <v/>
      </c>
      <c r="B71" s="10">
        <f>IF($A71="","",SUMIFS(RECETAS!$F:$F,RECETAS!$A:$A,$A71))</f>
        <v/>
      </c>
      <c r="C71" s="9" t="n"/>
      <c r="D71" s="10">
        <f>IF($A71="","",B71+IF(C71="",0,C71))</f>
        <v/>
      </c>
      <c r="E71" s="9" t="n"/>
      <c r="F71" s="10">
        <f>IF(OR($A71="",$E71=""),"",ROUND($E71-$E71/(1+$B$3),0))</f>
        <v/>
      </c>
      <c r="G71" s="10">
        <f>IF(OR($A71="",$E71=""),"",ROUND($E71/(1+$B$3),0))</f>
        <v/>
      </c>
      <c r="H71" s="10">
        <f>IF(OR($A71="",$E71=""),"",G71-D71)</f>
        <v/>
      </c>
      <c r="I71" s="22">
        <f>IF(OR($A71="",$E71="",$E71=0),"",H71/G71)</f>
        <v/>
      </c>
      <c r="J71" s="7" t="n"/>
    </row>
    <row r="72">
      <c r="A72" s="8">
        <f>IF(PRODUCTOS!B72="","",PRODUCTOS!B72)</f>
        <v/>
      </c>
      <c r="B72" s="10">
        <f>IF($A72="","",SUMIFS(RECETAS!$F:$F,RECETAS!$A:$A,$A72))</f>
        <v/>
      </c>
      <c r="C72" s="9" t="n"/>
      <c r="D72" s="10">
        <f>IF($A72="","",B72+IF(C72="",0,C72))</f>
        <v/>
      </c>
      <c r="E72" s="9" t="n"/>
      <c r="F72" s="10">
        <f>IF(OR($A72="",$E72=""),"",ROUND($E72-$E72/(1+$B$3),0))</f>
        <v/>
      </c>
      <c r="G72" s="10">
        <f>IF(OR($A72="",$E72=""),"",ROUND($E72/(1+$B$3),0))</f>
        <v/>
      </c>
      <c r="H72" s="10">
        <f>IF(OR($A72="",$E72=""),"",G72-D72)</f>
        <v/>
      </c>
      <c r="I72" s="22">
        <f>IF(OR($A72="",$E72="",$E72=0),"",H72/G72)</f>
        <v/>
      </c>
      <c r="J72" s="7" t="n"/>
    </row>
    <row r="73">
      <c r="A73" s="8">
        <f>IF(PRODUCTOS!B73="","",PRODUCTOS!B73)</f>
        <v/>
      </c>
      <c r="B73" s="10">
        <f>IF($A73="","",SUMIFS(RECETAS!$F:$F,RECETAS!$A:$A,$A73))</f>
        <v/>
      </c>
      <c r="C73" s="9" t="n"/>
      <c r="D73" s="10">
        <f>IF($A73="","",B73+IF(C73="",0,C73))</f>
        <v/>
      </c>
      <c r="E73" s="9" t="n"/>
      <c r="F73" s="10">
        <f>IF(OR($A73="",$E73=""),"",ROUND($E73-$E73/(1+$B$3),0))</f>
        <v/>
      </c>
      <c r="G73" s="10">
        <f>IF(OR($A73="",$E73=""),"",ROUND($E73/(1+$B$3),0))</f>
        <v/>
      </c>
      <c r="H73" s="10">
        <f>IF(OR($A73="",$E73=""),"",G73-D73)</f>
        <v/>
      </c>
      <c r="I73" s="22">
        <f>IF(OR($A73="",$E73="",$E73=0),"",H73/G73)</f>
        <v/>
      </c>
      <c r="J73" s="7" t="n"/>
    </row>
    <row r="74">
      <c r="A74" s="8">
        <f>IF(PRODUCTOS!B74="","",PRODUCTOS!B74)</f>
        <v/>
      </c>
      <c r="B74" s="10">
        <f>IF($A74="","",SUMIFS(RECETAS!$F:$F,RECETAS!$A:$A,$A74))</f>
        <v/>
      </c>
      <c r="C74" s="9" t="n"/>
      <c r="D74" s="10">
        <f>IF($A74="","",B74+IF(C74="",0,C74))</f>
        <v/>
      </c>
      <c r="E74" s="9" t="n"/>
      <c r="F74" s="10">
        <f>IF(OR($A74="",$E74=""),"",ROUND($E74-$E74/(1+$B$3),0))</f>
        <v/>
      </c>
      <c r="G74" s="10">
        <f>IF(OR($A74="",$E74=""),"",ROUND($E74/(1+$B$3),0))</f>
        <v/>
      </c>
      <c r="H74" s="10">
        <f>IF(OR($A74="",$E74=""),"",G74-D74)</f>
        <v/>
      </c>
      <c r="I74" s="22">
        <f>IF(OR($A74="",$E74="",$E74=0),"",H74/G74)</f>
        <v/>
      </c>
      <c r="J74" s="7" t="n"/>
    </row>
    <row r="75">
      <c r="A75" s="8">
        <f>IF(PRODUCTOS!B75="","",PRODUCTOS!B75)</f>
        <v/>
      </c>
      <c r="B75" s="10">
        <f>IF($A75="","",SUMIFS(RECETAS!$F:$F,RECETAS!$A:$A,$A75))</f>
        <v/>
      </c>
      <c r="C75" s="9" t="n"/>
      <c r="D75" s="10">
        <f>IF($A75="","",B75+IF(C75="",0,C75))</f>
        <v/>
      </c>
      <c r="E75" s="9" t="n"/>
      <c r="F75" s="10">
        <f>IF(OR($A75="",$E75=""),"",ROUND($E75-$E75/(1+$B$3),0))</f>
        <v/>
      </c>
      <c r="G75" s="10">
        <f>IF(OR($A75="",$E75=""),"",ROUND($E75/(1+$B$3),0))</f>
        <v/>
      </c>
      <c r="H75" s="10">
        <f>IF(OR($A75="",$E75=""),"",G75-D75)</f>
        <v/>
      </c>
      <c r="I75" s="22">
        <f>IF(OR($A75="",$E75="",$E75=0),"",H75/G75)</f>
        <v/>
      </c>
      <c r="J75" s="7" t="n"/>
    </row>
    <row r="76">
      <c r="A76" s="8">
        <f>IF(PRODUCTOS!B76="","",PRODUCTOS!B76)</f>
        <v/>
      </c>
      <c r="B76" s="10">
        <f>IF($A76="","",SUMIFS(RECETAS!$F:$F,RECETAS!$A:$A,$A76))</f>
        <v/>
      </c>
      <c r="C76" s="9" t="n"/>
      <c r="D76" s="10">
        <f>IF($A76="","",B76+IF(C76="",0,C76))</f>
        <v/>
      </c>
      <c r="E76" s="9" t="n"/>
      <c r="F76" s="10">
        <f>IF(OR($A76="",$E76=""),"",ROUND($E76-$E76/(1+$B$3),0))</f>
        <v/>
      </c>
      <c r="G76" s="10">
        <f>IF(OR($A76="",$E76=""),"",ROUND($E76/(1+$B$3),0))</f>
        <v/>
      </c>
      <c r="H76" s="10">
        <f>IF(OR($A76="",$E76=""),"",G76-D76)</f>
        <v/>
      </c>
      <c r="I76" s="22">
        <f>IF(OR($A76="",$E76="",$E76=0),"",H76/G76)</f>
        <v/>
      </c>
      <c r="J76" s="7" t="n"/>
    </row>
    <row r="77">
      <c r="A77" s="8">
        <f>IF(PRODUCTOS!B77="","",PRODUCTOS!B77)</f>
        <v/>
      </c>
      <c r="B77" s="10">
        <f>IF($A77="","",SUMIFS(RECETAS!$F:$F,RECETAS!$A:$A,$A77))</f>
        <v/>
      </c>
      <c r="C77" s="9" t="n"/>
      <c r="D77" s="10">
        <f>IF($A77="","",B77+IF(C77="",0,C77))</f>
        <v/>
      </c>
      <c r="E77" s="9" t="n"/>
      <c r="F77" s="10">
        <f>IF(OR($A77="",$E77=""),"",ROUND($E77-$E77/(1+$B$3),0))</f>
        <v/>
      </c>
      <c r="G77" s="10">
        <f>IF(OR($A77="",$E77=""),"",ROUND($E77/(1+$B$3),0))</f>
        <v/>
      </c>
      <c r="H77" s="10">
        <f>IF(OR($A77="",$E77=""),"",G77-D77)</f>
        <v/>
      </c>
      <c r="I77" s="22">
        <f>IF(OR($A77="",$E77="",$E77=0),"",H77/G77)</f>
        <v/>
      </c>
      <c r="J77" s="7" t="n"/>
    </row>
    <row r="78">
      <c r="A78" s="8">
        <f>IF(PRODUCTOS!B78="","",PRODUCTOS!B78)</f>
        <v/>
      </c>
      <c r="B78" s="10">
        <f>IF($A78="","",SUMIFS(RECETAS!$F:$F,RECETAS!$A:$A,$A78))</f>
        <v/>
      </c>
      <c r="C78" s="9" t="n"/>
      <c r="D78" s="10">
        <f>IF($A78="","",B78+IF(C78="",0,C78))</f>
        <v/>
      </c>
      <c r="E78" s="9" t="n"/>
      <c r="F78" s="10">
        <f>IF(OR($A78="",$E78=""),"",ROUND($E78-$E78/(1+$B$3),0))</f>
        <v/>
      </c>
      <c r="G78" s="10">
        <f>IF(OR($A78="",$E78=""),"",ROUND($E78/(1+$B$3),0))</f>
        <v/>
      </c>
      <c r="H78" s="10">
        <f>IF(OR($A78="",$E78=""),"",G78-D78)</f>
        <v/>
      </c>
      <c r="I78" s="22">
        <f>IF(OR($A78="",$E78="",$E78=0),"",H78/G78)</f>
        <v/>
      </c>
      <c r="J78" s="7" t="n"/>
    </row>
    <row r="79">
      <c r="A79" s="8">
        <f>IF(PRODUCTOS!B79="","",PRODUCTOS!B79)</f>
        <v/>
      </c>
      <c r="B79" s="10">
        <f>IF($A79="","",SUMIFS(RECETAS!$F:$F,RECETAS!$A:$A,$A79))</f>
        <v/>
      </c>
      <c r="C79" s="9" t="n"/>
      <c r="D79" s="10">
        <f>IF($A79="","",B79+IF(C79="",0,C79))</f>
        <v/>
      </c>
      <c r="E79" s="9" t="n"/>
      <c r="F79" s="10">
        <f>IF(OR($A79="",$E79=""),"",ROUND($E79-$E79/(1+$B$3),0))</f>
        <v/>
      </c>
      <c r="G79" s="10">
        <f>IF(OR($A79="",$E79=""),"",ROUND($E79/(1+$B$3),0))</f>
        <v/>
      </c>
      <c r="H79" s="10">
        <f>IF(OR($A79="",$E79=""),"",G79-D79)</f>
        <v/>
      </c>
      <c r="I79" s="22">
        <f>IF(OR($A79="",$E79="",$E79=0),"",H79/G79)</f>
        <v/>
      </c>
      <c r="J79" s="7" t="n"/>
    </row>
    <row r="80">
      <c r="A80" s="8">
        <f>IF(PRODUCTOS!B80="","",PRODUCTOS!B80)</f>
        <v/>
      </c>
      <c r="B80" s="10">
        <f>IF($A80="","",SUMIFS(RECETAS!$F:$F,RECETAS!$A:$A,$A80))</f>
        <v/>
      </c>
      <c r="C80" s="9" t="n"/>
      <c r="D80" s="10">
        <f>IF($A80="","",B80+IF(C80="",0,C80))</f>
        <v/>
      </c>
      <c r="E80" s="9" t="n"/>
      <c r="F80" s="10">
        <f>IF(OR($A80="",$E80=""),"",ROUND($E80-$E80/(1+$B$3),0))</f>
        <v/>
      </c>
      <c r="G80" s="10">
        <f>IF(OR($A80="",$E80=""),"",ROUND($E80/(1+$B$3),0))</f>
        <v/>
      </c>
      <c r="H80" s="10">
        <f>IF(OR($A80="",$E80=""),"",G80-D80)</f>
        <v/>
      </c>
      <c r="I80" s="22">
        <f>IF(OR($A80="",$E80="",$E80=0),"",H80/G80)</f>
        <v/>
      </c>
      <c r="J80" s="7" t="n"/>
    </row>
    <row r="81">
      <c r="A81" s="8">
        <f>IF(PRODUCTOS!B81="","",PRODUCTOS!B81)</f>
        <v/>
      </c>
      <c r="B81" s="10">
        <f>IF($A81="","",SUMIFS(RECETAS!$F:$F,RECETAS!$A:$A,$A81))</f>
        <v/>
      </c>
      <c r="C81" s="9" t="n"/>
      <c r="D81" s="10">
        <f>IF($A81="","",B81+IF(C81="",0,C81))</f>
        <v/>
      </c>
      <c r="E81" s="9" t="n"/>
      <c r="F81" s="10">
        <f>IF(OR($A81="",$E81=""),"",ROUND($E81-$E81/(1+$B$3),0))</f>
        <v/>
      </c>
      <c r="G81" s="10">
        <f>IF(OR($A81="",$E81=""),"",ROUND($E81/(1+$B$3),0))</f>
        <v/>
      </c>
      <c r="H81" s="10">
        <f>IF(OR($A81="",$E81=""),"",G81-D81)</f>
        <v/>
      </c>
      <c r="I81" s="22">
        <f>IF(OR($A81="",$E81="",$E81=0),"",H81/G81)</f>
        <v/>
      </c>
      <c r="J81" s="7" t="n"/>
    </row>
    <row r="82">
      <c r="A82" s="8">
        <f>IF(PRODUCTOS!B82="","",PRODUCTOS!B82)</f>
        <v/>
      </c>
      <c r="B82" s="10">
        <f>IF($A82="","",SUMIFS(RECETAS!$F:$F,RECETAS!$A:$A,$A82))</f>
        <v/>
      </c>
      <c r="C82" s="9" t="n"/>
      <c r="D82" s="10">
        <f>IF($A82="","",B82+IF(C82="",0,C82))</f>
        <v/>
      </c>
      <c r="E82" s="9" t="n"/>
      <c r="F82" s="10">
        <f>IF(OR($A82="",$E82=""),"",ROUND($E82-$E82/(1+$B$3),0))</f>
        <v/>
      </c>
      <c r="G82" s="10">
        <f>IF(OR($A82="",$E82=""),"",ROUND($E82/(1+$B$3),0))</f>
        <v/>
      </c>
      <c r="H82" s="10">
        <f>IF(OR($A82="",$E82=""),"",G82-D82)</f>
        <v/>
      </c>
      <c r="I82" s="22">
        <f>IF(OR($A82="",$E82="",$E82=0),"",H82/G82)</f>
        <v/>
      </c>
      <c r="J82" s="7" t="n"/>
    </row>
    <row r="83">
      <c r="A83" s="8">
        <f>IF(PRODUCTOS!B83="","",PRODUCTOS!B83)</f>
        <v/>
      </c>
      <c r="B83" s="10">
        <f>IF($A83="","",SUMIFS(RECETAS!$F:$F,RECETAS!$A:$A,$A83))</f>
        <v/>
      </c>
      <c r="C83" s="9" t="n"/>
      <c r="D83" s="10">
        <f>IF($A83="","",B83+IF(C83="",0,C83))</f>
        <v/>
      </c>
      <c r="E83" s="9" t="n"/>
      <c r="F83" s="10">
        <f>IF(OR($A83="",$E83=""),"",ROUND($E83-$E83/(1+$B$3),0))</f>
        <v/>
      </c>
      <c r="G83" s="10">
        <f>IF(OR($A83="",$E83=""),"",ROUND($E83/(1+$B$3),0))</f>
        <v/>
      </c>
      <c r="H83" s="10">
        <f>IF(OR($A83="",$E83=""),"",G83-D83)</f>
        <v/>
      </c>
      <c r="I83" s="22">
        <f>IF(OR($A83="",$E83="",$E83=0),"",H83/G83)</f>
        <v/>
      </c>
      <c r="J83" s="7" t="n"/>
    </row>
    <row r="84">
      <c r="A84" s="8">
        <f>IF(PRODUCTOS!B84="","",PRODUCTOS!B84)</f>
        <v/>
      </c>
      <c r="B84" s="10">
        <f>IF($A84="","",SUMIFS(RECETAS!$F:$F,RECETAS!$A:$A,$A84))</f>
        <v/>
      </c>
      <c r="C84" s="9" t="n"/>
      <c r="D84" s="10">
        <f>IF($A84="","",B84+IF(C84="",0,C84))</f>
        <v/>
      </c>
      <c r="E84" s="9" t="n"/>
      <c r="F84" s="10">
        <f>IF(OR($A84="",$E84=""),"",ROUND($E84-$E84/(1+$B$3),0))</f>
        <v/>
      </c>
      <c r="G84" s="10">
        <f>IF(OR($A84="",$E84=""),"",ROUND($E84/(1+$B$3),0))</f>
        <v/>
      </c>
      <c r="H84" s="10">
        <f>IF(OR($A84="",$E84=""),"",G84-D84)</f>
        <v/>
      </c>
      <c r="I84" s="22">
        <f>IF(OR($A84="",$E84="",$E84=0),"",H84/G84)</f>
        <v/>
      </c>
      <c r="J84" s="7" t="n"/>
    </row>
    <row r="85">
      <c r="A85" s="8">
        <f>IF(PRODUCTOS!B85="","",PRODUCTOS!B85)</f>
        <v/>
      </c>
      <c r="B85" s="10">
        <f>IF($A85="","",SUMIFS(RECETAS!$F:$F,RECETAS!$A:$A,$A85))</f>
        <v/>
      </c>
      <c r="C85" s="9" t="n"/>
      <c r="D85" s="10">
        <f>IF($A85="","",B85+IF(C85="",0,C85))</f>
        <v/>
      </c>
      <c r="E85" s="9" t="n"/>
      <c r="F85" s="10">
        <f>IF(OR($A85="",$E85=""),"",ROUND($E85-$E85/(1+$B$3),0))</f>
        <v/>
      </c>
      <c r="G85" s="10">
        <f>IF(OR($A85="",$E85=""),"",ROUND($E85/(1+$B$3),0))</f>
        <v/>
      </c>
      <c r="H85" s="10">
        <f>IF(OR($A85="",$E85=""),"",G85-D85)</f>
        <v/>
      </c>
      <c r="I85" s="22">
        <f>IF(OR($A85="",$E85="",$E85=0),"",H85/G85)</f>
        <v/>
      </c>
      <c r="J85" s="7" t="n"/>
    </row>
    <row r="86">
      <c r="A86" s="8">
        <f>IF(PRODUCTOS!B86="","",PRODUCTOS!B86)</f>
        <v/>
      </c>
      <c r="B86" s="10">
        <f>IF($A86="","",SUMIFS(RECETAS!$F:$F,RECETAS!$A:$A,$A86))</f>
        <v/>
      </c>
      <c r="C86" s="9" t="n"/>
      <c r="D86" s="10">
        <f>IF($A86="","",B86+IF(C86="",0,C86))</f>
        <v/>
      </c>
      <c r="E86" s="9" t="n"/>
      <c r="F86" s="10">
        <f>IF(OR($A86="",$E86=""),"",ROUND($E86-$E86/(1+$B$3),0))</f>
        <v/>
      </c>
      <c r="G86" s="10">
        <f>IF(OR($A86="",$E86=""),"",ROUND($E86/(1+$B$3),0))</f>
        <v/>
      </c>
      <c r="H86" s="10">
        <f>IF(OR($A86="",$E86=""),"",G86-D86)</f>
        <v/>
      </c>
      <c r="I86" s="22">
        <f>IF(OR($A86="",$E86="",$E86=0),"",H86/G86)</f>
        <v/>
      </c>
      <c r="J86" s="7" t="n"/>
    </row>
    <row r="87">
      <c r="A87" s="8">
        <f>IF(PRODUCTOS!B87="","",PRODUCTOS!B87)</f>
        <v/>
      </c>
      <c r="B87" s="10">
        <f>IF($A87="","",SUMIFS(RECETAS!$F:$F,RECETAS!$A:$A,$A87))</f>
        <v/>
      </c>
      <c r="C87" s="9" t="n"/>
      <c r="D87" s="10">
        <f>IF($A87="","",B87+IF(C87="",0,C87))</f>
        <v/>
      </c>
      <c r="E87" s="9" t="n"/>
      <c r="F87" s="10">
        <f>IF(OR($A87="",$E87=""),"",ROUND($E87-$E87/(1+$B$3),0))</f>
        <v/>
      </c>
      <c r="G87" s="10">
        <f>IF(OR($A87="",$E87=""),"",ROUND($E87/(1+$B$3),0))</f>
        <v/>
      </c>
      <c r="H87" s="10">
        <f>IF(OR($A87="",$E87=""),"",G87-D87)</f>
        <v/>
      </c>
      <c r="I87" s="22">
        <f>IF(OR($A87="",$E87="",$E87=0),"",H87/G87)</f>
        <v/>
      </c>
      <c r="J87" s="7" t="n"/>
    </row>
    <row r="88">
      <c r="A88" s="8">
        <f>IF(PRODUCTOS!B88="","",PRODUCTOS!B88)</f>
        <v/>
      </c>
      <c r="B88" s="10">
        <f>IF($A88="","",SUMIFS(RECETAS!$F:$F,RECETAS!$A:$A,$A88))</f>
        <v/>
      </c>
      <c r="C88" s="9" t="n"/>
      <c r="D88" s="10">
        <f>IF($A88="","",B88+IF(C88="",0,C88))</f>
        <v/>
      </c>
      <c r="E88" s="9" t="n"/>
      <c r="F88" s="10">
        <f>IF(OR($A88="",$E88=""),"",ROUND($E88-$E88/(1+$B$3),0))</f>
        <v/>
      </c>
      <c r="G88" s="10">
        <f>IF(OR($A88="",$E88=""),"",ROUND($E88/(1+$B$3),0))</f>
        <v/>
      </c>
      <c r="H88" s="10">
        <f>IF(OR($A88="",$E88=""),"",G88-D88)</f>
        <v/>
      </c>
      <c r="I88" s="22">
        <f>IF(OR($A88="",$E88="",$E88=0),"",H88/G88)</f>
        <v/>
      </c>
      <c r="J88" s="7" t="n"/>
    </row>
    <row r="89">
      <c r="A89" s="8">
        <f>IF(PRODUCTOS!B89="","",PRODUCTOS!B89)</f>
        <v/>
      </c>
      <c r="B89" s="10">
        <f>IF($A89="","",SUMIFS(RECETAS!$F:$F,RECETAS!$A:$A,$A89))</f>
        <v/>
      </c>
      <c r="C89" s="9" t="n"/>
      <c r="D89" s="10">
        <f>IF($A89="","",B89+IF(C89="",0,C89))</f>
        <v/>
      </c>
      <c r="E89" s="9" t="n"/>
      <c r="F89" s="10">
        <f>IF(OR($A89="",$E89=""),"",ROUND($E89-$E89/(1+$B$3),0))</f>
        <v/>
      </c>
      <c r="G89" s="10">
        <f>IF(OR($A89="",$E89=""),"",ROUND($E89/(1+$B$3),0))</f>
        <v/>
      </c>
      <c r="H89" s="10">
        <f>IF(OR($A89="",$E89=""),"",G89-D89)</f>
        <v/>
      </c>
      <c r="I89" s="22">
        <f>IF(OR($A89="",$E89="",$E89=0),"",H89/G89)</f>
        <v/>
      </c>
      <c r="J89" s="7" t="n"/>
    </row>
    <row r="90">
      <c r="A90" s="8">
        <f>IF(PRODUCTOS!B90="","",PRODUCTOS!B90)</f>
        <v/>
      </c>
      <c r="B90" s="10">
        <f>IF($A90="","",SUMIFS(RECETAS!$F:$F,RECETAS!$A:$A,$A90))</f>
        <v/>
      </c>
      <c r="C90" s="9" t="n"/>
      <c r="D90" s="10">
        <f>IF($A90="","",B90+IF(C90="",0,C90))</f>
        <v/>
      </c>
      <c r="E90" s="9" t="n"/>
      <c r="F90" s="10">
        <f>IF(OR($A90="",$E90=""),"",ROUND($E90-$E90/(1+$B$3),0))</f>
        <v/>
      </c>
      <c r="G90" s="10">
        <f>IF(OR($A90="",$E90=""),"",ROUND($E90/(1+$B$3),0))</f>
        <v/>
      </c>
      <c r="H90" s="10">
        <f>IF(OR($A90="",$E90=""),"",G90-D90)</f>
        <v/>
      </c>
      <c r="I90" s="22">
        <f>IF(OR($A90="",$E90="",$E90=0),"",H90/G90)</f>
        <v/>
      </c>
      <c r="J90" s="7" t="n"/>
    </row>
    <row r="91">
      <c r="A91" s="8">
        <f>IF(PRODUCTOS!B91="","",PRODUCTOS!B91)</f>
        <v/>
      </c>
      <c r="B91" s="10">
        <f>IF($A91="","",SUMIFS(RECETAS!$F:$F,RECETAS!$A:$A,$A91))</f>
        <v/>
      </c>
      <c r="C91" s="9" t="n"/>
      <c r="D91" s="10">
        <f>IF($A91="","",B91+IF(C91="",0,C91))</f>
        <v/>
      </c>
      <c r="E91" s="9" t="n"/>
      <c r="F91" s="10">
        <f>IF(OR($A91="",$E91=""),"",ROUND($E91-$E91/(1+$B$3),0))</f>
        <v/>
      </c>
      <c r="G91" s="10">
        <f>IF(OR($A91="",$E91=""),"",ROUND($E91/(1+$B$3),0))</f>
        <v/>
      </c>
      <c r="H91" s="10">
        <f>IF(OR($A91="",$E91=""),"",G91-D91)</f>
        <v/>
      </c>
      <c r="I91" s="22">
        <f>IF(OR($A91="",$E91="",$E91=0),"",H91/G91)</f>
        <v/>
      </c>
      <c r="J91" s="7" t="n"/>
    </row>
    <row r="92">
      <c r="A92" s="8">
        <f>IF(PRODUCTOS!B92="","",PRODUCTOS!B92)</f>
        <v/>
      </c>
      <c r="B92" s="10">
        <f>IF($A92="","",SUMIFS(RECETAS!$F:$F,RECETAS!$A:$A,$A92))</f>
        <v/>
      </c>
      <c r="C92" s="9" t="n"/>
      <c r="D92" s="10">
        <f>IF($A92="","",B92+IF(C92="",0,C92))</f>
        <v/>
      </c>
      <c r="E92" s="9" t="n"/>
      <c r="F92" s="10">
        <f>IF(OR($A92="",$E92=""),"",ROUND($E92-$E92/(1+$B$3),0))</f>
        <v/>
      </c>
      <c r="G92" s="10">
        <f>IF(OR($A92="",$E92=""),"",ROUND($E92/(1+$B$3),0))</f>
        <v/>
      </c>
      <c r="H92" s="10">
        <f>IF(OR($A92="",$E92=""),"",G92-D92)</f>
        <v/>
      </c>
      <c r="I92" s="22">
        <f>IF(OR($A92="",$E92="",$E92=0),"",H92/G92)</f>
        <v/>
      </c>
      <c r="J92" s="7" t="n"/>
    </row>
    <row r="93">
      <c r="A93" s="8">
        <f>IF(PRODUCTOS!B93="","",PRODUCTOS!B93)</f>
        <v/>
      </c>
      <c r="B93" s="10">
        <f>IF($A93="","",SUMIFS(RECETAS!$F:$F,RECETAS!$A:$A,$A93))</f>
        <v/>
      </c>
      <c r="C93" s="9" t="n"/>
      <c r="D93" s="10">
        <f>IF($A93="","",B93+IF(C93="",0,C93))</f>
        <v/>
      </c>
      <c r="E93" s="9" t="n"/>
      <c r="F93" s="10">
        <f>IF(OR($A93="",$E93=""),"",ROUND($E93-$E93/(1+$B$3),0))</f>
        <v/>
      </c>
      <c r="G93" s="10">
        <f>IF(OR($A93="",$E93=""),"",ROUND($E93/(1+$B$3),0))</f>
        <v/>
      </c>
      <c r="H93" s="10">
        <f>IF(OR($A93="",$E93=""),"",G93-D93)</f>
        <v/>
      </c>
      <c r="I93" s="22">
        <f>IF(OR($A93="",$E93="",$E93=0),"",H93/G93)</f>
        <v/>
      </c>
      <c r="J93" s="7" t="n"/>
    </row>
    <row r="94">
      <c r="A94" s="8">
        <f>IF(PRODUCTOS!B94="","",PRODUCTOS!B94)</f>
        <v/>
      </c>
      <c r="B94" s="10">
        <f>IF($A94="","",SUMIFS(RECETAS!$F:$F,RECETAS!$A:$A,$A94))</f>
        <v/>
      </c>
      <c r="C94" s="9" t="n"/>
      <c r="D94" s="10">
        <f>IF($A94="","",B94+IF(C94="",0,C94))</f>
        <v/>
      </c>
      <c r="E94" s="9" t="n"/>
      <c r="F94" s="10">
        <f>IF(OR($A94="",$E94=""),"",ROUND($E94-$E94/(1+$B$3),0))</f>
        <v/>
      </c>
      <c r="G94" s="10">
        <f>IF(OR($A94="",$E94=""),"",ROUND($E94/(1+$B$3),0))</f>
        <v/>
      </c>
      <c r="H94" s="10">
        <f>IF(OR($A94="",$E94=""),"",G94-D94)</f>
        <v/>
      </c>
      <c r="I94" s="22">
        <f>IF(OR($A94="",$E94="",$E94=0),"",H94/G94)</f>
        <v/>
      </c>
      <c r="J94" s="7" t="n"/>
    </row>
    <row r="95">
      <c r="A95" s="8">
        <f>IF(PRODUCTOS!B95="","",PRODUCTOS!B95)</f>
        <v/>
      </c>
      <c r="B95" s="10">
        <f>IF($A95="","",SUMIFS(RECETAS!$F:$F,RECETAS!$A:$A,$A95))</f>
        <v/>
      </c>
      <c r="C95" s="9" t="n"/>
      <c r="D95" s="10">
        <f>IF($A95="","",B95+IF(C95="",0,C95))</f>
        <v/>
      </c>
      <c r="E95" s="9" t="n"/>
      <c r="F95" s="10">
        <f>IF(OR($A95="",$E95=""),"",ROUND($E95-$E95/(1+$B$3),0))</f>
        <v/>
      </c>
      <c r="G95" s="10">
        <f>IF(OR($A95="",$E95=""),"",ROUND($E95/(1+$B$3),0))</f>
        <v/>
      </c>
      <c r="H95" s="10">
        <f>IF(OR($A95="",$E95=""),"",G95-D95)</f>
        <v/>
      </c>
      <c r="I95" s="22">
        <f>IF(OR($A95="",$E95="",$E95=0),"",H95/G95)</f>
        <v/>
      </c>
      <c r="J95" s="7" t="n"/>
    </row>
    <row r="96">
      <c r="A96" s="8">
        <f>IF(PRODUCTOS!B96="","",PRODUCTOS!B96)</f>
        <v/>
      </c>
      <c r="B96" s="10">
        <f>IF($A96="","",SUMIFS(RECETAS!$F:$F,RECETAS!$A:$A,$A96))</f>
        <v/>
      </c>
      <c r="C96" s="9" t="n"/>
      <c r="D96" s="10">
        <f>IF($A96="","",B96+IF(C96="",0,C96))</f>
        <v/>
      </c>
      <c r="E96" s="9" t="n"/>
      <c r="F96" s="10">
        <f>IF(OR($A96="",$E96=""),"",ROUND($E96-$E96/(1+$B$3),0))</f>
        <v/>
      </c>
      <c r="G96" s="10">
        <f>IF(OR($A96="",$E96=""),"",ROUND($E96/(1+$B$3),0))</f>
        <v/>
      </c>
      <c r="H96" s="10">
        <f>IF(OR($A96="",$E96=""),"",G96-D96)</f>
        <v/>
      </c>
      <c r="I96" s="22">
        <f>IF(OR($A96="",$E96="",$E96=0),"",H96/G96)</f>
        <v/>
      </c>
      <c r="J96" s="7" t="n"/>
    </row>
    <row r="97">
      <c r="A97" s="8">
        <f>IF(PRODUCTOS!B97="","",PRODUCTOS!B97)</f>
        <v/>
      </c>
      <c r="B97" s="10">
        <f>IF($A97="","",SUMIFS(RECETAS!$F:$F,RECETAS!$A:$A,$A97))</f>
        <v/>
      </c>
      <c r="C97" s="9" t="n"/>
      <c r="D97" s="10">
        <f>IF($A97="","",B97+IF(C97="",0,C97))</f>
        <v/>
      </c>
      <c r="E97" s="9" t="n"/>
      <c r="F97" s="10">
        <f>IF(OR($A97="",$E97=""),"",ROUND($E97-$E97/(1+$B$3),0))</f>
        <v/>
      </c>
      <c r="G97" s="10">
        <f>IF(OR($A97="",$E97=""),"",ROUND($E97/(1+$B$3),0))</f>
        <v/>
      </c>
      <c r="H97" s="10">
        <f>IF(OR($A97="",$E97=""),"",G97-D97)</f>
        <v/>
      </c>
      <c r="I97" s="22">
        <f>IF(OR($A97="",$E97="",$E97=0),"",H97/G97)</f>
        <v/>
      </c>
      <c r="J97" s="7" t="n"/>
    </row>
    <row r="98">
      <c r="A98" s="8">
        <f>IF(PRODUCTOS!B98="","",PRODUCTOS!B98)</f>
        <v/>
      </c>
      <c r="B98" s="10">
        <f>IF($A98="","",SUMIFS(RECETAS!$F:$F,RECETAS!$A:$A,$A98))</f>
        <v/>
      </c>
      <c r="C98" s="9" t="n"/>
      <c r="D98" s="10">
        <f>IF($A98="","",B98+IF(C98="",0,C98))</f>
        <v/>
      </c>
      <c r="E98" s="9" t="n"/>
      <c r="F98" s="10">
        <f>IF(OR($A98="",$E98=""),"",ROUND($E98-$E98/(1+$B$3),0))</f>
        <v/>
      </c>
      <c r="G98" s="10">
        <f>IF(OR($A98="",$E98=""),"",ROUND($E98/(1+$B$3),0))</f>
        <v/>
      </c>
      <c r="H98" s="10">
        <f>IF(OR($A98="",$E98=""),"",G98-D98)</f>
        <v/>
      </c>
      <c r="I98" s="22">
        <f>IF(OR($A98="",$E98="",$E98=0),"",H98/G98)</f>
        <v/>
      </c>
      <c r="J98" s="7" t="n"/>
    </row>
    <row r="99">
      <c r="A99" s="8">
        <f>IF(PRODUCTOS!B99="","",PRODUCTOS!B99)</f>
        <v/>
      </c>
      <c r="B99" s="10">
        <f>IF($A99="","",SUMIFS(RECETAS!$F:$F,RECETAS!$A:$A,$A99))</f>
        <v/>
      </c>
      <c r="C99" s="9" t="n"/>
      <c r="D99" s="10">
        <f>IF($A99="","",B99+IF(C99="",0,C99))</f>
        <v/>
      </c>
      <c r="E99" s="9" t="n"/>
      <c r="F99" s="10">
        <f>IF(OR($A99="",$E99=""),"",ROUND($E99-$E99/(1+$B$3),0))</f>
        <v/>
      </c>
      <c r="G99" s="10">
        <f>IF(OR($A99="",$E99=""),"",ROUND($E99/(1+$B$3),0))</f>
        <v/>
      </c>
      <c r="H99" s="10">
        <f>IF(OR($A99="",$E99=""),"",G99-D99)</f>
        <v/>
      </c>
      <c r="I99" s="22">
        <f>IF(OR($A99="",$E99="",$E99=0),"",H99/G99)</f>
        <v/>
      </c>
      <c r="J99" s="7" t="n"/>
    </row>
    <row r="100">
      <c r="A100" s="8">
        <f>IF(PRODUCTOS!B100="","",PRODUCTOS!B100)</f>
        <v/>
      </c>
      <c r="B100" s="10">
        <f>IF($A100="","",SUMIFS(RECETAS!$F:$F,RECETAS!$A:$A,$A100))</f>
        <v/>
      </c>
      <c r="C100" s="9" t="n"/>
      <c r="D100" s="10">
        <f>IF($A100="","",B100+IF(C100="",0,C100))</f>
        <v/>
      </c>
      <c r="E100" s="9" t="n"/>
      <c r="F100" s="10">
        <f>IF(OR($A100="",$E100=""),"",ROUND($E100-$E100/(1+$B$3),0))</f>
        <v/>
      </c>
      <c r="G100" s="10">
        <f>IF(OR($A100="",$E100=""),"",ROUND($E100/(1+$B$3),0))</f>
        <v/>
      </c>
      <c r="H100" s="10">
        <f>IF(OR($A100="",$E100=""),"",G100-D100)</f>
        <v/>
      </c>
      <c r="I100" s="22">
        <f>IF(OR($A100="",$E100="",$E100=0),"",H100/G100)</f>
        <v/>
      </c>
      <c r="J100" s="7" t="n"/>
    </row>
    <row r="101">
      <c r="A101" s="8">
        <f>IF(PRODUCTOS!B101="","",PRODUCTOS!B101)</f>
        <v/>
      </c>
      <c r="B101" s="10">
        <f>IF($A101="","",SUMIFS(RECETAS!$F:$F,RECETAS!$A:$A,$A101))</f>
        <v/>
      </c>
      <c r="C101" s="9" t="n"/>
      <c r="D101" s="10">
        <f>IF($A101="","",B101+IF(C101="",0,C101))</f>
        <v/>
      </c>
      <c r="E101" s="9" t="n"/>
      <c r="F101" s="10">
        <f>IF(OR($A101="",$E101=""),"",ROUND($E101-$E101/(1+$B$3),0))</f>
        <v/>
      </c>
      <c r="G101" s="10">
        <f>IF(OR($A101="",$E101=""),"",ROUND($E101/(1+$B$3),0))</f>
        <v/>
      </c>
      <c r="H101" s="10">
        <f>IF(OR($A101="",$E101=""),"",G101-D101)</f>
        <v/>
      </c>
      <c r="I101" s="22">
        <f>IF(OR($A101="",$E101="",$E101=0),"",H101/G101)</f>
        <v/>
      </c>
      <c r="J101" s="7" t="n"/>
    </row>
    <row r="102">
      <c r="A102" s="8">
        <f>IF(PRODUCTOS!B102="","",PRODUCTOS!B102)</f>
        <v/>
      </c>
      <c r="B102" s="10">
        <f>IF($A102="","",SUMIFS(RECETAS!$F:$F,RECETAS!$A:$A,$A102))</f>
        <v/>
      </c>
      <c r="C102" s="9" t="n"/>
      <c r="D102" s="10">
        <f>IF($A102="","",B102+IF(C102="",0,C102))</f>
        <v/>
      </c>
      <c r="E102" s="9" t="n"/>
      <c r="F102" s="10">
        <f>IF(OR($A102="",$E102=""),"",ROUND($E102-$E102/(1+$B$3),0))</f>
        <v/>
      </c>
      <c r="G102" s="10">
        <f>IF(OR($A102="",$E102=""),"",ROUND($E102/(1+$B$3),0))</f>
        <v/>
      </c>
      <c r="H102" s="10">
        <f>IF(OR($A102="",$E102=""),"",G102-D102)</f>
        <v/>
      </c>
      <c r="I102" s="22">
        <f>IF(OR($A102="",$E102="",$E102=0),"",H102/G102)</f>
        <v/>
      </c>
      <c r="J102" s="7" t="n"/>
    </row>
    <row r="103">
      <c r="A103" s="8">
        <f>IF(PRODUCTOS!B103="","",PRODUCTOS!B103)</f>
        <v/>
      </c>
      <c r="B103" s="10">
        <f>IF($A103="","",SUMIFS(RECETAS!$F:$F,RECETAS!$A:$A,$A103))</f>
        <v/>
      </c>
      <c r="C103" s="9" t="n"/>
      <c r="D103" s="10">
        <f>IF($A103="","",B103+IF(C103="",0,C103))</f>
        <v/>
      </c>
      <c r="E103" s="9" t="n"/>
      <c r="F103" s="10">
        <f>IF(OR($A103="",$E103=""),"",ROUND($E103-$E103/(1+$B$3),0))</f>
        <v/>
      </c>
      <c r="G103" s="10">
        <f>IF(OR($A103="",$E103=""),"",ROUND($E103/(1+$B$3),0))</f>
        <v/>
      </c>
      <c r="H103" s="10">
        <f>IF(OR($A103="",$E103=""),"",G103-D103)</f>
        <v/>
      </c>
      <c r="I103" s="22">
        <f>IF(OR($A103="",$E103="",$E103=0),"",H103/G103)</f>
        <v/>
      </c>
      <c r="J103" s="7" t="n"/>
    </row>
    <row r="104">
      <c r="A104" s="8">
        <f>IF(PRODUCTOS!B104="","",PRODUCTOS!B104)</f>
        <v/>
      </c>
      <c r="B104" s="10">
        <f>IF($A104="","",SUMIFS(RECETAS!$F:$F,RECETAS!$A:$A,$A104))</f>
        <v/>
      </c>
      <c r="C104" s="9" t="n"/>
      <c r="D104" s="10">
        <f>IF($A104="","",B104+IF(C104="",0,C104))</f>
        <v/>
      </c>
      <c r="E104" s="9" t="n"/>
      <c r="F104" s="10">
        <f>IF(OR($A104="",$E104=""),"",ROUND($E104-$E104/(1+$B$3),0))</f>
        <v/>
      </c>
      <c r="G104" s="10">
        <f>IF(OR($A104="",$E104=""),"",ROUND($E104/(1+$B$3),0))</f>
        <v/>
      </c>
      <c r="H104" s="10">
        <f>IF(OR($A104="",$E104=""),"",G104-D104)</f>
        <v/>
      </c>
      <c r="I104" s="22">
        <f>IF(OR($A104="",$E104="",$E104=0),"",H104/G104)</f>
        <v/>
      </c>
      <c r="J104"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2026-07-07T00:25:25Z</dcterms:created>
  <dcterms:modified xsi:type="dcterms:W3CDTF">2026-07-07T18:15:58Z</dcterms:modified>
  <cp:lastModifiedBy>Natalia Inostroza B.</cp:lastModifiedBy>
  <cp:revision>0</cp:revision>
</cp:coreProperties>
</file>